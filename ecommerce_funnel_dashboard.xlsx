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upha\Downloads\ecommerce-funnel-portfolio\excel\"/>
    </mc:Choice>
  </mc:AlternateContent>
  <xr:revisionPtr revIDLastSave="0" documentId="13_ncr:1_{5AFE7625-1BE0-4D3A-B718-26B119854C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verview" sheetId="1" r:id="rId1"/>
    <sheet name="Funnel" sheetId="2" r:id="rId2"/>
    <sheet name="Segments" sheetId="3" r:id="rId3"/>
    <sheet name="Weekly" sheetId="4" r:id="rId4"/>
    <sheet name="SQL Expor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" l="1"/>
  <c r="D18" i="4"/>
  <c r="C18" i="4"/>
  <c r="B18" i="4"/>
  <c r="E17" i="4"/>
  <c r="F17" i="4" s="1"/>
  <c r="D17" i="4"/>
  <c r="C17" i="4"/>
  <c r="B17" i="4"/>
  <c r="E16" i="4"/>
  <c r="D16" i="4"/>
  <c r="C16" i="4"/>
  <c r="B16" i="4"/>
  <c r="E15" i="4"/>
  <c r="F15" i="4" s="1"/>
  <c r="D15" i="4"/>
  <c r="C15" i="4"/>
  <c r="B15" i="4"/>
  <c r="E14" i="4"/>
  <c r="F14" i="4" s="1"/>
  <c r="D14" i="4"/>
  <c r="C14" i="4"/>
  <c r="B14" i="4"/>
  <c r="E13" i="4"/>
  <c r="F13" i="4" s="1"/>
  <c r="D13" i="4"/>
  <c r="C13" i="4"/>
  <c r="B13" i="4"/>
  <c r="E12" i="4"/>
  <c r="F12" i="4" s="1"/>
  <c r="D12" i="4"/>
  <c r="C12" i="4"/>
  <c r="B12" i="4"/>
  <c r="E11" i="4"/>
  <c r="D11" i="4"/>
  <c r="C11" i="4"/>
  <c r="B11" i="4"/>
  <c r="E10" i="4"/>
  <c r="F10" i="4" s="1"/>
  <c r="D10" i="4"/>
  <c r="C10" i="4"/>
  <c r="B10" i="4"/>
  <c r="E9" i="4"/>
  <c r="D9" i="4"/>
  <c r="C9" i="4"/>
  <c r="B9" i="4"/>
  <c r="E8" i="4"/>
  <c r="F8" i="4" s="1"/>
  <c r="D8" i="4"/>
  <c r="C8" i="4"/>
  <c r="B8" i="4"/>
  <c r="E7" i="4"/>
  <c r="D7" i="4"/>
  <c r="C7" i="4"/>
  <c r="B7" i="4"/>
  <c r="E6" i="4"/>
  <c r="F6" i="4" s="1"/>
  <c r="D6" i="4"/>
  <c r="C6" i="4"/>
  <c r="B6" i="4"/>
  <c r="E5" i="4"/>
  <c r="F5" i="4" s="1"/>
  <c r="D5" i="4"/>
  <c r="C5" i="4"/>
  <c r="B5" i="4"/>
  <c r="H12" i="3"/>
  <c r="F12" i="3"/>
  <c r="E12" i="3"/>
  <c r="D12" i="3"/>
  <c r="C12" i="3"/>
  <c r="H11" i="3"/>
  <c r="F11" i="3"/>
  <c r="G11" i="3" s="1"/>
  <c r="E11" i="3"/>
  <c r="D11" i="3"/>
  <c r="C11" i="3"/>
  <c r="H10" i="3"/>
  <c r="F10" i="3"/>
  <c r="E10" i="3"/>
  <c r="D10" i="3"/>
  <c r="C10" i="3"/>
  <c r="H9" i="3"/>
  <c r="G9" i="3"/>
  <c r="F9" i="3"/>
  <c r="E9" i="3"/>
  <c r="D9" i="3"/>
  <c r="C9" i="3"/>
  <c r="H8" i="3"/>
  <c r="F8" i="3"/>
  <c r="G8" i="3" s="1"/>
  <c r="E8" i="3"/>
  <c r="D8" i="3"/>
  <c r="C8" i="3"/>
  <c r="H7" i="3"/>
  <c r="F7" i="3"/>
  <c r="E7" i="3"/>
  <c r="D7" i="3"/>
  <c r="C7" i="3"/>
  <c r="H6" i="3"/>
  <c r="F6" i="3"/>
  <c r="G6" i="3" s="1"/>
  <c r="E6" i="3"/>
  <c r="D6" i="3"/>
  <c r="C6" i="3"/>
  <c r="H5" i="3"/>
  <c r="F5" i="3"/>
  <c r="G5" i="3" s="1"/>
  <c r="E5" i="3"/>
  <c r="D5" i="3"/>
  <c r="C5" i="3"/>
  <c r="G9" i="2"/>
  <c r="B9" i="2"/>
  <c r="B13" i="1" s="1"/>
  <c r="G8" i="2"/>
  <c r="C8" i="2"/>
  <c r="B8" i="2"/>
  <c r="C9" i="2" s="1"/>
  <c r="D9" i="2" s="1"/>
  <c r="E9" i="2" s="1"/>
  <c r="G7" i="2"/>
  <c r="F7" i="2"/>
  <c r="B7" i="2"/>
  <c r="G6" i="2"/>
  <c r="E6" i="2"/>
  <c r="D6" i="2"/>
  <c r="C6" i="2"/>
  <c r="B6" i="2"/>
  <c r="C7" i="2" s="1"/>
  <c r="D7" i="2" s="1"/>
  <c r="E7" i="2" s="1"/>
  <c r="B11" i="1"/>
  <c r="G6" i="1"/>
  <c r="C6" i="1"/>
  <c r="A6" i="1" l="1"/>
  <c r="F16" i="4"/>
  <c r="F18" i="4"/>
  <c r="F6" i="2"/>
  <c r="G7" i="3"/>
  <c r="G10" i="3"/>
  <c r="F7" i="4"/>
  <c r="F9" i="4"/>
  <c r="F11" i="4"/>
  <c r="B10" i="1"/>
  <c r="G12" i="3"/>
  <c r="B12" i="1"/>
  <c r="D8" i="2"/>
  <c r="E8" i="2" s="1"/>
  <c r="F9" i="2"/>
  <c r="E6" i="1" s="1"/>
  <c r="F8" i="2"/>
</calcChain>
</file>

<file path=xl/sharedStrings.xml><?xml version="1.0" encoding="utf-8"?>
<sst xmlns="http://schemas.openxmlformats.org/spreadsheetml/2006/main" count="374" uniqueCount="81">
  <si>
    <t>E-commerce Funnel Performance</t>
  </si>
  <si>
    <t>Synthetic demonstration | 1,000 sessions | 2026-07-01 to 2026-09-28 UTC</t>
  </si>
  <si>
    <t>Product view sessions</t>
  </si>
  <si>
    <t>Purchase sessions</t>
  </si>
  <si>
    <t>View-to-purchase</t>
  </si>
  <si>
    <t>Purchase revenue (USD)</t>
  </si>
  <si>
    <t>Funnel step</t>
  </si>
  <si>
    <t>Sessions</t>
  </si>
  <si>
    <t>Product view</t>
  </si>
  <si>
    <t>Add to cart</t>
  </si>
  <si>
    <t>Begin checkout</t>
  </si>
  <si>
    <t>Purchase</t>
  </si>
  <si>
    <t>How to use this view</t>
  </si>
  <si>
    <t>Largest session loss first; compare rate and volume by segment.</t>
  </si>
  <si>
    <t>Data note</t>
  </si>
  <si>
    <t>Synthetic demo data.</t>
  </si>
  <si>
    <t>Definitions</t>
  </si>
  <si>
    <t>Ordered same-session events; see README.</t>
  </si>
  <si>
    <t>Session Funnel</t>
  </si>
  <si>
    <t>Reporting window: 2026-07-01 to 2026-09-28 | UTC | Ordered events within the same session</t>
  </si>
  <si>
    <t>Prior step sessions</t>
  </si>
  <si>
    <t>Step conversion</t>
  </si>
  <si>
    <t>Step drop-off</t>
  </si>
  <si>
    <t>Conversion from view</t>
  </si>
  <si>
    <t>Metric note</t>
  </si>
  <si>
    <t>Definition</t>
  </si>
  <si>
    <t>Current-step sessions ÷ prior-step sessions</t>
  </si>
  <si>
    <t>Drop-off</t>
  </si>
  <si>
    <t>1 − step conversion</t>
  </si>
  <si>
    <t>Segment Performance</t>
  </si>
  <si>
    <t>Compare funnel rates with session volume before prioritizing an investigation.</t>
  </si>
  <si>
    <t>Segment type</t>
  </si>
  <si>
    <t>Segment</t>
  </si>
  <si>
    <t>Add-to-cart sessions</t>
  </si>
  <si>
    <t>Checkout sessions</t>
  </si>
  <si>
    <t>Device</t>
  </si>
  <si>
    <t>desktop</t>
  </si>
  <si>
    <t>mobile</t>
  </si>
  <si>
    <t>tablet</t>
  </si>
  <si>
    <t>Channel</t>
  </si>
  <si>
    <t>direct / (none)</t>
  </si>
  <si>
    <t>google / cpc</t>
  </si>
  <si>
    <t>google / organic</t>
  </si>
  <si>
    <t>instagram / social</t>
  </si>
  <si>
    <t>newsletter / email</t>
  </si>
  <si>
    <t>Weekly Funnel Trend</t>
  </si>
  <si>
    <t>ISO week is assigned from the session start date in UTC; boundary weeks may be partial.</t>
  </si>
  <si>
    <t>ISO week</t>
  </si>
  <si>
    <t>Product views</t>
  </si>
  <si>
    <t>Purchases</t>
  </si>
  <si>
    <t>View-to-purchase rate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</si>
  <si>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</si>
  <si>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</si>
  <si>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</si>
  <si>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</si>
  <si>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</si>
  <si>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</si>
  <si>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</si>
  <si>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</si>
  <si>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</si>
  <si>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</si>
  <si>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</si>
  <si>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</si>
  <si>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</si>
  <si>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</si>
  <si>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report_start_date</t>
  </si>
  <si>
    <t>report_end_date</t>
  </si>
  <si>
    <t>view_name</t>
  </si>
  <si>
    <t>dimension_value</t>
  </si>
  <si>
    <t>step_order</t>
  </si>
  <si>
    <t>step_name</t>
  </si>
  <si>
    <t>step_sessions</t>
  </si>
  <si>
    <t>previous_step_sessions</t>
  </si>
  <si>
    <t>conversion_from_previous</t>
  </si>
  <si>
    <t>dropoff_from_previous</t>
  </si>
  <si>
    <t>view_entry_sessions</t>
  </si>
  <si>
    <t>overall_conversion_from_view</t>
  </si>
  <si>
    <t>purchase_revenue_usd</t>
  </si>
  <si>
    <t>Overall</t>
  </si>
  <si>
    <t>All sessions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</si>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</sst>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%"/>
    <numFmt numFmtId="166" formatCode="\$#,##0.00"/>
    <numFmt numFmtId="167" formatCode="\$#,##0"/>
  </numFmts>
  <fonts count="12">
    <font>
      <sz val="11"/>
      <name val="Carlito"/>
    </font>
    <font>
      <sz val="9"/>
      <color rgb="FF263238"/>
      <name val="Arial"/>
    </font>
    <font>
      <b/>
      <sz val="9"/>
      <color rgb="FFFFFFFF"/>
      <name val="Arial"/>
    </font>
    <font>
      <b/>
      <sz val="14"/>
      <color rgb="FF23395B"/>
      <name val="Arial"/>
    </font>
    <font>
      <sz val="10"/>
      <color rgb="FF263238"/>
      <name val="Arial"/>
    </font>
    <font>
      <b/>
      <sz val="10"/>
      <color rgb="FFFFFFFF"/>
      <name val="Arial"/>
    </font>
    <font>
      <b/>
      <sz val="9"/>
      <color rgb="FF23395B"/>
      <name val="Arial"/>
    </font>
    <font>
      <b/>
      <sz val="9"/>
      <color rgb="FF455A64"/>
      <name val="Arial"/>
    </font>
    <font>
      <sz val="9"/>
      <color rgb="FF455A64"/>
      <name val="Arial"/>
    </font>
    <font>
      <i/>
      <sz val="9"/>
      <color rgb="FF607D8B"/>
      <name val="Arial"/>
    </font>
    <font>
      <b/>
      <sz val="16"/>
      <color rgb="FF23395B"/>
      <name val="Arial"/>
    </font>
    <font>
      <b/>
      <sz val="9"/>
      <color rgb="FF263238"/>
      <name val="Arial"/>
    </font>
  </fonts>
  <fills count="5">
    <fill>
      <patternFill patternType="none"/>
    </fill>
    <fill>
      <patternFill patternType="gray125"/>
    </fill>
    <fill>
      <patternFill patternType="solid">
        <fgColor rgb="FF23395B"/>
      </patternFill>
    </fill>
    <fill>
      <patternFill patternType="solid">
        <fgColor rgb="FFE8EEF5"/>
      </patternFill>
    </fill>
    <fill>
      <patternFill patternType="solid">
        <fgColor rgb="FFEDF3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165" fontId="1" fillId="0" borderId="0" xfId="0" applyNumberFormat="1" applyFont="1"/>
    <xf numFmtId="166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3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4" fillId="0" borderId="1" xfId="0" applyFont="1" applyBorder="1"/>
    <xf numFmtId="3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3" fontId="1" fillId="0" borderId="0" xfId="0" applyNumberFormat="1" applyFont="1"/>
    <xf numFmtId="0" fontId="10" fillId="0" borderId="0" xfId="0" applyFont="1"/>
    <xf numFmtId="0" fontId="7" fillId="0" borderId="0" xfId="0" applyFont="1"/>
    <xf numFmtId="0" fontId="3" fillId="4" borderId="0" xfId="0" applyFont="1" applyFill="1" applyAlignment="1">
      <alignment vertical="center"/>
    </xf>
    <xf numFmtId="3" fontId="3" fillId="4" borderId="0" xfId="0" applyNumberFormat="1" applyFont="1" applyFill="1" applyAlignment="1">
      <alignment vertical="center"/>
    </xf>
    <xf numFmtId="165" fontId="3" fillId="4" borderId="0" xfId="0" applyNumberFormat="1" applyFont="1" applyFill="1" applyAlignment="1">
      <alignment vertical="center"/>
    </xf>
    <xf numFmtId="167" fontId="3" fillId="4" borderId="0" xfId="0" applyNumberFormat="1" applyFont="1" applyFill="1" applyAlignment="1">
      <alignment vertical="center"/>
    </xf>
    <xf numFmtId="0" fontId="11" fillId="2" borderId="0" xfId="0" applyFont="1" applyFill="1"/>
    <xf numFmtId="0" fontId="6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Sessions by funnel step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Sessions</c:v>
          </c:tx>
          <c:invertIfNegative val="0"/>
          <c:cat>
            <c:strRef>
              <c:f>Overview!$A$10:$A$13</c:f>
              <c:strCache>
                <c:ptCount val="4"/>
                <c:pt idx="0">
                  <c:v>Product view</c:v>
                </c:pt>
                <c:pt idx="1">
                  <c:v>Add to cart</c:v>
                </c:pt>
                <c:pt idx="2">
                  <c:v>Begin checkout</c:v>
                </c:pt>
                <c:pt idx="3">
                  <c:v>Purchase</c:v>
                </c:pt>
              </c:strCache>
            </c:strRef>
          </c:cat>
          <c:val>
            <c:numRef>
              <c:f>Overview!$B$10:$B$13</c:f>
              <c:numCache>
                <c:formatCode>#,##0</c:formatCode>
                <c:ptCount val="4"/>
                <c:pt idx="0">
                  <c:v>1000</c:v>
                </c:pt>
                <c:pt idx="1">
                  <c:v>443</c:v>
                </c:pt>
                <c:pt idx="2">
                  <c:v>263</c:v>
                </c:pt>
                <c:pt idx="3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1-46CF-BFFE-79AAEEEF3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unnelMetrics" displayName="FunnelMetrics" ref="A5:G9" totalsRowShown="0">
  <tableColumns count="7">
    <tableColumn id="1" xr3:uid="{00000000-0010-0000-0000-000001000000}" name="Funnel step"/>
    <tableColumn id="2" xr3:uid="{00000000-0010-0000-0000-000002000000}" name="Sessions"/>
    <tableColumn id="3" xr3:uid="{00000000-0010-0000-0000-000003000000}" name="Prior step sessions"/>
    <tableColumn id="4" xr3:uid="{00000000-0010-0000-0000-000004000000}" name="Step conversion"/>
    <tableColumn id="5" xr3:uid="{00000000-0010-0000-0000-000005000000}" name="Step drop-off"/>
    <tableColumn id="6" xr3:uid="{00000000-0010-0000-0000-000006000000}" name="Conversion from view"/>
    <tableColumn id="7" xr3:uid="{00000000-0010-0000-0000-000007000000}" name="Purchase revenue (US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egmentMetrics" displayName="SegmentMetrics" ref="A4:H12" totalsRowShown="0">
  <tableColumns count="8">
    <tableColumn id="1" xr3:uid="{00000000-0010-0000-0100-000001000000}" name="Segment type"/>
    <tableColumn id="2" xr3:uid="{00000000-0010-0000-0100-000002000000}" name="Segment"/>
    <tableColumn id="3" xr3:uid="{00000000-0010-0000-0100-000003000000}" name="Product view sessions"/>
    <tableColumn id="4" xr3:uid="{00000000-0010-0000-0100-000004000000}" name="Add-to-cart sessions"/>
    <tableColumn id="5" xr3:uid="{00000000-0010-0000-0100-000005000000}" name="Checkout sessions"/>
    <tableColumn id="6" xr3:uid="{00000000-0010-0000-0100-000006000000}" name="Purchase sessions"/>
    <tableColumn id="7" xr3:uid="{00000000-0010-0000-0100-000007000000}" name="View-to-purchase"/>
    <tableColumn id="8" xr3:uid="{00000000-0010-0000-0100-000008000000}" name="Purchase revenue (USD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WeeklyTrend" displayName="WeeklyTrend" ref="A4:F18" totalsRowShown="0">
  <tableColumns count="6">
    <tableColumn id="1" xr3:uid="{00000000-0010-0000-0200-000001000000}" name="ISO week"/>
    <tableColumn id="2" xr3:uid="{00000000-0010-0000-0200-000002000000}" name="Product views"/>
    <tableColumn id="3" xr3:uid="{00000000-0010-0000-0200-000003000000}" name="Add to cart"/>
    <tableColumn id="4" xr3:uid="{00000000-0010-0000-0200-000004000000}" name="Begin checkout"/>
    <tableColumn id="5" xr3:uid="{00000000-0010-0000-0200-000005000000}" name="Purchases"/>
    <tableColumn id="6" xr3:uid="{00000000-0010-0000-0200-000006000000}" name="View-to-purchase 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MySQLResult" displayName="MySQLResult" ref="A1:M93" totalsRowShown="0">
  <tableColumns count="13">
    <tableColumn id="1" xr3:uid="{00000000-0010-0000-0300-000001000000}" name="report_start_date" dataDxfId="1"/>
    <tableColumn id="2" xr3:uid="{00000000-0010-0000-0300-000002000000}" name="report_end_date" dataDxfId="0"/>
    <tableColumn id="3" xr3:uid="{00000000-0010-0000-0300-000003000000}" name="view_name"/>
    <tableColumn id="4" xr3:uid="{00000000-0010-0000-0300-000004000000}" name="dimension_value"/>
    <tableColumn id="5" xr3:uid="{00000000-0010-0000-0300-000005000000}" name="step_order"/>
    <tableColumn id="6" xr3:uid="{00000000-0010-0000-0300-000006000000}" name="step_name"/>
    <tableColumn id="7" xr3:uid="{00000000-0010-0000-0300-000007000000}" name="step_sessions"/>
    <tableColumn id="8" xr3:uid="{00000000-0010-0000-0300-000008000000}" name="previous_step_sessions"/>
    <tableColumn id="9" xr3:uid="{00000000-0010-0000-0300-000009000000}" name="conversion_from_previous"/>
    <tableColumn id="10" xr3:uid="{00000000-0010-0000-0300-00000A000000}" name="dropoff_from_previous"/>
    <tableColumn id="11" xr3:uid="{00000000-0010-0000-0300-00000B000000}" name="view_entry_sessions"/>
    <tableColumn id="12" xr3:uid="{00000000-0010-0000-0300-00000C000000}" name="overall_conversion_from_view"/>
    <tableColumn id="13" xr3:uid="{00000000-0010-0000-0300-00000D000000}" name="purchase_revenue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95B"/>
  </sheetPr>
  <dimension ref="A2:G18"/>
  <sheetViews>
    <sheetView showGridLines="0" tabSelected="1" workbookViewId="0"/>
  </sheetViews>
  <sheetFormatPr defaultRowHeight="13.8"/>
  <cols>
    <col min="1" max="1" width="24" customWidth="1"/>
    <col min="2" max="2" width="31" customWidth="1"/>
    <col min="3" max="3" width="4" customWidth="1"/>
    <col min="4" max="7" width="19" customWidth="1"/>
  </cols>
  <sheetData>
    <row r="2" spans="1:7" ht="21">
      <c r="A2" s="19" t="s">
        <v>0</v>
      </c>
    </row>
    <row r="3" spans="1:7">
      <c r="A3" s="17" t="s">
        <v>1</v>
      </c>
    </row>
    <row r="5" spans="1:7">
      <c r="A5" s="20" t="s">
        <v>2</v>
      </c>
      <c r="B5" s="20"/>
      <c r="C5" s="20" t="s">
        <v>3</v>
      </c>
      <c r="D5" s="20"/>
      <c r="E5" s="20" t="s">
        <v>4</v>
      </c>
      <c r="F5" s="20"/>
      <c r="G5" s="20" t="s">
        <v>5</v>
      </c>
    </row>
    <row r="6" spans="1:7" ht="17.399999999999999">
      <c r="A6" s="22">
        <f>Funnel!B6</f>
        <v>1000</v>
      </c>
      <c r="B6" s="21"/>
      <c r="C6" s="22">
        <f>Funnel!B9</f>
        <v>183</v>
      </c>
      <c r="D6" s="21"/>
      <c r="E6" s="23">
        <f>Funnel!F9</f>
        <v>0.183</v>
      </c>
      <c r="F6" s="21"/>
      <c r="G6" s="24">
        <f>Funnel!G9</f>
        <v>20982.959999999901</v>
      </c>
    </row>
    <row r="9" spans="1:7">
      <c r="A9" s="25" t="s">
        <v>6</v>
      </c>
      <c r="B9" s="25" t="s">
        <v>7</v>
      </c>
    </row>
    <row r="10" spans="1:7">
      <c r="A10" s="1" t="s">
        <v>8</v>
      </c>
      <c r="B10" s="18">
        <f>Funnel!B6</f>
        <v>1000</v>
      </c>
    </row>
    <row r="11" spans="1:7">
      <c r="A11" s="1" t="s">
        <v>9</v>
      </c>
      <c r="B11" s="18">
        <f>Funnel!B7</f>
        <v>443</v>
      </c>
    </row>
    <row r="12" spans="1:7">
      <c r="A12" s="1" t="s">
        <v>10</v>
      </c>
      <c r="B12" s="18">
        <f>Funnel!B8</f>
        <v>263</v>
      </c>
    </row>
    <row r="13" spans="1:7">
      <c r="A13" s="1" t="s">
        <v>11</v>
      </c>
      <c r="B13" s="18">
        <f>Funnel!B9</f>
        <v>183</v>
      </c>
    </row>
    <row r="16" spans="1:7">
      <c r="A16" s="26" t="s">
        <v>12</v>
      </c>
      <c r="B16" s="16" t="s">
        <v>13</v>
      </c>
      <c r="C16" s="16"/>
    </row>
    <row r="17" spans="1:3">
      <c r="A17" s="26" t="s">
        <v>14</v>
      </c>
      <c r="B17" s="16" t="s">
        <v>15</v>
      </c>
      <c r="C17" s="16"/>
    </row>
    <row r="18" spans="1:3">
      <c r="A18" s="26" t="s">
        <v>16</v>
      </c>
      <c r="B18" s="16" t="s">
        <v>17</v>
      </c>
      <c r="C18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6D8A"/>
  </sheetPr>
  <dimension ref="A2:G14"/>
  <sheetViews>
    <sheetView showGridLines="0" workbookViewId="0"/>
  </sheetViews>
  <sheetFormatPr defaultRowHeight="13.8"/>
  <cols>
    <col min="1" max="1" width="23" customWidth="1"/>
    <col min="2" max="2" width="17" customWidth="1"/>
    <col min="3" max="3" width="22" customWidth="1"/>
    <col min="4" max="6" width="19" customWidth="1"/>
    <col min="7" max="7" width="24" customWidth="1"/>
  </cols>
  <sheetData>
    <row r="2" spans="1:7" ht="17.399999999999999">
      <c r="A2" s="5" t="s">
        <v>18</v>
      </c>
    </row>
    <row r="3" spans="1:7">
      <c r="A3" t="s">
        <v>19</v>
      </c>
    </row>
    <row r="5" spans="1:7" ht="30" customHeight="1">
      <c r="A5" s="7" t="s">
        <v>6</v>
      </c>
      <c r="B5" s="7" t="s">
        <v>7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5</v>
      </c>
    </row>
    <row r="6" spans="1:7">
      <c r="A6" s="6" t="s">
        <v>8</v>
      </c>
      <c r="B6" s="8">
        <f>SUMIFS('SQL Export'!$G$2:$G$93,'SQL Export'!$C$2:$C$93,"Overall",'SQL Export'!$E$2:$E$93,1)</f>
        <v>1000</v>
      </c>
      <c r="C6" s="8" t="str">
        <f>""</f>
        <v/>
      </c>
      <c r="D6" s="9" t="str">
        <f>""</f>
        <v/>
      </c>
      <c r="E6" s="9" t="str">
        <f>""</f>
        <v/>
      </c>
      <c r="F6" s="9">
        <f>IFERROR(B6/$B$6,0)</f>
        <v>1</v>
      </c>
      <c r="G6" s="10">
        <f>0</f>
        <v>0</v>
      </c>
    </row>
    <row r="7" spans="1:7">
      <c r="A7" s="6" t="s">
        <v>9</v>
      </c>
      <c r="B7" s="8">
        <f>SUMIFS('SQL Export'!$G$2:$G$93,'SQL Export'!$C$2:$C$93,"Overall",'SQL Export'!$E$2:$E$93,2)</f>
        <v>443</v>
      </c>
      <c r="C7" s="8">
        <f>B6</f>
        <v>1000</v>
      </c>
      <c r="D7" s="9">
        <f>IFERROR(B7/C7,0)</f>
        <v>0.443</v>
      </c>
      <c r="E7" s="9">
        <f>1-D7</f>
        <v>0.55699999999999994</v>
      </c>
      <c r="F7" s="9">
        <f>IFERROR(B7/$B$6,0)</f>
        <v>0.443</v>
      </c>
      <c r="G7" s="10">
        <f>0</f>
        <v>0</v>
      </c>
    </row>
    <row r="8" spans="1:7">
      <c r="A8" s="6" t="s">
        <v>10</v>
      </c>
      <c r="B8" s="8">
        <f>SUMIFS('SQL Export'!$G$2:$G$93,'SQL Export'!$C$2:$C$93,"Overall",'SQL Export'!$E$2:$E$93,3)</f>
        <v>263</v>
      </c>
      <c r="C8" s="8">
        <f>B7</f>
        <v>443</v>
      </c>
      <c r="D8" s="9">
        <f>IFERROR(B8/C8,0)</f>
        <v>0.5936794582392777</v>
      </c>
      <c r="E8" s="9">
        <f>1-D8</f>
        <v>0.4063205417607223</v>
      </c>
      <c r="F8" s="9">
        <f>IFERROR(B8/$B$6,0)</f>
        <v>0.26300000000000001</v>
      </c>
      <c r="G8" s="10">
        <f>0</f>
        <v>0</v>
      </c>
    </row>
    <row r="9" spans="1:7">
      <c r="A9" s="11" t="s">
        <v>11</v>
      </c>
      <c r="B9" s="12">
        <f>SUMIFS('SQL Export'!$G$2:$G$93,'SQL Export'!$C$2:$C$93,"Overall",'SQL Export'!$E$2:$E$93,4)</f>
        <v>183</v>
      </c>
      <c r="C9" s="12">
        <f>B8</f>
        <v>263</v>
      </c>
      <c r="D9" s="13">
        <f>IFERROR(B9/C9,0)</f>
        <v>0.69581749049429653</v>
      </c>
      <c r="E9" s="13">
        <f>1-D9</f>
        <v>0.30418250950570347</v>
      </c>
      <c r="F9" s="13">
        <f>IFERROR(B9/$B$6,0)</f>
        <v>0.183</v>
      </c>
      <c r="G9" s="14">
        <f>SUMIFS('SQL Export'!$M$2:$M$93,'SQL Export'!$C$2:$C$93,"Overall",'SQL Export'!$E$2:$E$93,4)</f>
        <v>20982.959999999901</v>
      </c>
    </row>
    <row r="12" spans="1:7">
      <c r="A12" s="15" t="s">
        <v>24</v>
      </c>
      <c r="B12" s="15" t="s">
        <v>25</v>
      </c>
      <c r="C12" s="15"/>
    </row>
    <row r="13" spans="1:7">
      <c r="A13" s="16" t="s">
        <v>21</v>
      </c>
      <c r="B13" s="16" t="s">
        <v>26</v>
      </c>
      <c r="C13" s="16"/>
    </row>
    <row r="14" spans="1:7">
      <c r="A14" s="16" t="s">
        <v>27</v>
      </c>
      <c r="B14" s="16" t="s">
        <v>28</v>
      </c>
      <c r="C14" s="1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6D8A"/>
  </sheetPr>
  <dimension ref="A2:H12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1" width="16" customWidth="1"/>
    <col min="2" max="2" width="25" customWidth="1"/>
    <col min="3" max="8" width="21" customWidth="1"/>
  </cols>
  <sheetData>
    <row r="2" spans="1:8" ht="17.399999999999999">
      <c r="A2" s="5" t="s">
        <v>29</v>
      </c>
    </row>
    <row r="3" spans="1:8">
      <c r="A3" s="17" t="s">
        <v>30</v>
      </c>
    </row>
    <row r="4" spans="1:8" ht="34.049999999999997" customHeight="1">
      <c r="A4" s="2" t="s">
        <v>31</v>
      </c>
      <c r="B4" s="2" t="s">
        <v>32</v>
      </c>
      <c r="C4" s="2" t="s">
        <v>2</v>
      </c>
      <c r="D4" s="2" t="s">
        <v>33</v>
      </c>
      <c r="E4" s="2" t="s">
        <v>34</v>
      </c>
      <c r="F4" s="2" t="s">
        <v>3</v>
      </c>
      <c r="G4" s="2" t="s">
        <v>4</v>
      </c>
      <c r="H4" s="2" t="s">
        <v>5</v>
      </c>
    </row>
    <row r="5" spans="1:8">
      <c r="A5" s="1" t="s">
        <v>35</v>
      </c>
      <c r="B5" s="1" t="s">
        <v>36</v>
      </c>
      <c r="C5" s="18">
        <f>SUMIFS('SQL Export'!$G$2:$G$93,'SQL Export'!$C$2:$C$93,$A5,'SQL Export'!$D$2:$D$93,$B5,'SQL Export'!$E$2:$E$93,1)</f>
        <v>294</v>
      </c>
      <c r="D5" s="18">
        <f>SUMIFS('SQL Export'!$G$2:$G$93,'SQL Export'!$C$2:$C$93,$A5,'SQL Export'!$D$2:$D$93,$B5,'SQL Export'!$E$2:$E$93,2)</f>
        <v>145</v>
      </c>
      <c r="E5" s="18">
        <f>SUMIFS('SQL Export'!$G$2:$G$93,'SQL Export'!$C$2:$C$93,$A5,'SQL Export'!$D$2:$D$93,$B5,'SQL Export'!$E$2:$E$93,3)</f>
        <v>99</v>
      </c>
      <c r="F5" s="18">
        <f>SUMIFS('SQL Export'!$G$2:$G$93,'SQL Export'!$C$2:$C$93,$A5,'SQL Export'!$D$2:$D$93,$B5,'SQL Export'!$E$2:$E$93,4)</f>
        <v>77</v>
      </c>
      <c r="G5" s="3">
        <f t="shared" ref="G5:G12" si="0">IFERROR(F5/C5,0)</f>
        <v>0.26190476190476192</v>
      </c>
      <c r="H5" s="4">
        <f>SUMIFS('SQL Export'!$M$2:$M$93,'SQL Export'!$C$2:$C$93,$A5,'SQL Export'!$D$2:$D$93,$B5,'SQL Export'!$E$2:$E$93,4)</f>
        <v>9114.1699999999892</v>
      </c>
    </row>
    <row r="6" spans="1:8">
      <c r="A6" s="1" t="s">
        <v>35</v>
      </c>
      <c r="B6" s="1" t="s">
        <v>37</v>
      </c>
      <c r="C6" s="18">
        <f>SUMIFS('SQL Export'!$G$2:$G$93,'SQL Export'!$C$2:$C$93,$A6,'SQL Export'!$D$2:$D$93,$B6,'SQL Export'!$E$2:$E$93,1)</f>
        <v>650</v>
      </c>
      <c r="D6" s="18">
        <f>SUMIFS('SQL Export'!$G$2:$G$93,'SQL Export'!$C$2:$C$93,$A6,'SQL Export'!$D$2:$D$93,$B6,'SQL Export'!$E$2:$E$93,2)</f>
        <v>272</v>
      </c>
      <c r="E6" s="18">
        <f>SUMIFS('SQL Export'!$G$2:$G$93,'SQL Export'!$C$2:$C$93,$A6,'SQL Export'!$D$2:$D$93,$B6,'SQL Export'!$E$2:$E$93,3)</f>
        <v>147</v>
      </c>
      <c r="F6" s="18">
        <f>SUMIFS('SQL Export'!$G$2:$G$93,'SQL Export'!$C$2:$C$93,$A6,'SQL Export'!$D$2:$D$93,$B6,'SQL Export'!$E$2:$E$93,4)</f>
        <v>95</v>
      </c>
      <c r="G6" s="3">
        <f t="shared" si="0"/>
        <v>0.14615384615384616</v>
      </c>
      <c r="H6" s="4">
        <f>SUMIFS('SQL Export'!$M$2:$M$93,'SQL Export'!$C$2:$C$93,$A6,'SQL Export'!$D$2:$D$93,$B6,'SQL Export'!$E$2:$E$93,4)</f>
        <v>10793.0799999999</v>
      </c>
    </row>
    <row r="7" spans="1:8">
      <c r="A7" s="1" t="s">
        <v>35</v>
      </c>
      <c r="B7" s="1" t="s">
        <v>38</v>
      </c>
      <c r="C7" s="18">
        <f>SUMIFS('SQL Export'!$G$2:$G$93,'SQL Export'!$C$2:$C$93,$A7,'SQL Export'!$D$2:$D$93,$B7,'SQL Export'!$E$2:$E$93,1)</f>
        <v>56</v>
      </c>
      <c r="D7" s="18">
        <f>SUMIFS('SQL Export'!$G$2:$G$93,'SQL Export'!$C$2:$C$93,$A7,'SQL Export'!$D$2:$D$93,$B7,'SQL Export'!$E$2:$E$93,2)</f>
        <v>26</v>
      </c>
      <c r="E7" s="18">
        <f>SUMIFS('SQL Export'!$G$2:$G$93,'SQL Export'!$C$2:$C$93,$A7,'SQL Export'!$D$2:$D$93,$B7,'SQL Export'!$E$2:$E$93,3)</f>
        <v>17</v>
      </c>
      <c r="F7" s="18">
        <f>SUMIFS('SQL Export'!$G$2:$G$93,'SQL Export'!$C$2:$C$93,$A7,'SQL Export'!$D$2:$D$93,$B7,'SQL Export'!$E$2:$E$93,4)</f>
        <v>11</v>
      </c>
      <c r="G7" s="3">
        <f t="shared" si="0"/>
        <v>0.19642857142857142</v>
      </c>
      <c r="H7" s="4">
        <f>SUMIFS('SQL Export'!$M$2:$M$93,'SQL Export'!$C$2:$C$93,$A7,'SQL Export'!$D$2:$D$93,$B7,'SQL Export'!$E$2:$E$93,4)</f>
        <v>1075.71</v>
      </c>
    </row>
    <row r="8" spans="1:8">
      <c r="A8" s="1" t="s">
        <v>39</v>
      </c>
      <c r="B8" s="1" t="s">
        <v>40</v>
      </c>
      <c r="C8" s="18">
        <f>SUMIFS('SQL Export'!$G$2:$G$93,'SQL Export'!$C$2:$C$93,$A8,'SQL Export'!$D$2:$D$93,$B8,'SQL Export'!$E$2:$E$93,1)</f>
        <v>79</v>
      </c>
      <c r="D8" s="18">
        <f>SUMIFS('SQL Export'!$G$2:$G$93,'SQL Export'!$C$2:$C$93,$A8,'SQL Export'!$D$2:$D$93,$B8,'SQL Export'!$E$2:$E$93,2)</f>
        <v>35</v>
      </c>
      <c r="E8" s="18">
        <f>SUMIFS('SQL Export'!$G$2:$G$93,'SQL Export'!$C$2:$C$93,$A8,'SQL Export'!$D$2:$D$93,$B8,'SQL Export'!$E$2:$E$93,3)</f>
        <v>19</v>
      </c>
      <c r="F8" s="18">
        <f>SUMIFS('SQL Export'!$G$2:$G$93,'SQL Export'!$C$2:$C$93,$A8,'SQL Export'!$D$2:$D$93,$B8,'SQL Export'!$E$2:$E$93,4)</f>
        <v>16</v>
      </c>
      <c r="G8" s="3">
        <f t="shared" si="0"/>
        <v>0.20253164556962025</v>
      </c>
      <c r="H8" s="4">
        <f>SUMIFS('SQL Export'!$M$2:$M$93,'SQL Export'!$C$2:$C$93,$A8,'SQL Export'!$D$2:$D$93,$B8,'SQL Export'!$E$2:$E$93,4)</f>
        <v>1802.04</v>
      </c>
    </row>
    <row r="9" spans="1:8">
      <c r="A9" s="1" t="s">
        <v>39</v>
      </c>
      <c r="B9" s="1" t="s">
        <v>41</v>
      </c>
      <c r="C9" s="18">
        <f>SUMIFS('SQL Export'!$G$2:$G$93,'SQL Export'!$C$2:$C$93,$A9,'SQL Export'!$D$2:$D$93,$B9,'SQL Export'!$E$2:$E$93,1)</f>
        <v>239</v>
      </c>
      <c r="D9" s="18">
        <f>SUMIFS('SQL Export'!$G$2:$G$93,'SQL Export'!$C$2:$C$93,$A9,'SQL Export'!$D$2:$D$93,$B9,'SQL Export'!$E$2:$E$93,2)</f>
        <v>100</v>
      </c>
      <c r="E9" s="18">
        <f>SUMIFS('SQL Export'!$G$2:$G$93,'SQL Export'!$C$2:$C$93,$A9,'SQL Export'!$D$2:$D$93,$B9,'SQL Export'!$E$2:$E$93,3)</f>
        <v>50</v>
      </c>
      <c r="F9" s="18">
        <f>SUMIFS('SQL Export'!$G$2:$G$93,'SQL Export'!$C$2:$C$93,$A9,'SQL Export'!$D$2:$D$93,$B9,'SQL Export'!$E$2:$E$93,4)</f>
        <v>33</v>
      </c>
      <c r="G9" s="3">
        <f t="shared" si="0"/>
        <v>0.13807531380753138</v>
      </c>
      <c r="H9" s="4">
        <f>SUMIFS('SQL Export'!$M$2:$M$93,'SQL Export'!$C$2:$C$93,$A9,'SQL Export'!$D$2:$D$93,$B9,'SQL Export'!$E$2:$E$93,4)</f>
        <v>3592.29</v>
      </c>
    </row>
    <row r="10" spans="1:8">
      <c r="A10" s="1" t="s">
        <v>39</v>
      </c>
      <c r="B10" s="1" t="s">
        <v>42</v>
      </c>
      <c r="C10" s="18">
        <f>SUMIFS('SQL Export'!$G$2:$G$93,'SQL Export'!$C$2:$C$93,$A10,'SQL Export'!$D$2:$D$93,$B10,'SQL Export'!$E$2:$E$93,1)</f>
        <v>348</v>
      </c>
      <c r="D10" s="18">
        <f>SUMIFS('SQL Export'!$G$2:$G$93,'SQL Export'!$C$2:$C$93,$A10,'SQL Export'!$D$2:$D$93,$B10,'SQL Export'!$E$2:$E$93,2)</f>
        <v>164</v>
      </c>
      <c r="E10" s="18">
        <f>SUMIFS('SQL Export'!$G$2:$G$93,'SQL Export'!$C$2:$C$93,$A10,'SQL Export'!$D$2:$D$93,$B10,'SQL Export'!$E$2:$E$93,3)</f>
        <v>100</v>
      </c>
      <c r="F10" s="18">
        <f>SUMIFS('SQL Export'!$G$2:$G$93,'SQL Export'!$C$2:$C$93,$A10,'SQL Export'!$D$2:$D$93,$B10,'SQL Export'!$E$2:$E$93,4)</f>
        <v>69</v>
      </c>
      <c r="G10" s="3">
        <f t="shared" si="0"/>
        <v>0.19827586206896552</v>
      </c>
      <c r="H10" s="4">
        <f>SUMIFS('SQL Export'!$M$2:$M$93,'SQL Export'!$C$2:$C$93,$A10,'SQL Export'!$D$2:$D$93,$B10,'SQL Export'!$E$2:$E$93,4)</f>
        <v>8007.56</v>
      </c>
    </row>
    <row r="11" spans="1:8">
      <c r="A11" s="1" t="s">
        <v>39</v>
      </c>
      <c r="B11" s="1" t="s">
        <v>43</v>
      </c>
      <c r="C11" s="18">
        <f>SUMIFS('SQL Export'!$G$2:$G$93,'SQL Export'!$C$2:$C$93,$A11,'SQL Export'!$D$2:$D$93,$B11,'SQL Export'!$E$2:$E$93,1)</f>
        <v>142</v>
      </c>
      <c r="D11" s="18">
        <f>SUMIFS('SQL Export'!$G$2:$G$93,'SQL Export'!$C$2:$C$93,$A11,'SQL Export'!$D$2:$D$93,$B11,'SQL Export'!$E$2:$E$93,2)</f>
        <v>44</v>
      </c>
      <c r="E11" s="18">
        <f>SUMIFS('SQL Export'!$G$2:$G$93,'SQL Export'!$C$2:$C$93,$A11,'SQL Export'!$D$2:$D$93,$B11,'SQL Export'!$E$2:$E$93,3)</f>
        <v>24</v>
      </c>
      <c r="F11" s="18">
        <f>SUMIFS('SQL Export'!$G$2:$G$93,'SQL Export'!$C$2:$C$93,$A11,'SQL Export'!$D$2:$D$93,$B11,'SQL Export'!$E$2:$E$93,4)</f>
        <v>14</v>
      </c>
      <c r="G11" s="3">
        <f t="shared" si="0"/>
        <v>9.8591549295774641E-2</v>
      </c>
      <c r="H11" s="4">
        <f>SUMIFS('SQL Export'!$M$2:$M$93,'SQL Export'!$C$2:$C$93,$A11,'SQL Export'!$D$2:$D$93,$B11,'SQL Export'!$E$2:$E$93,4)</f>
        <v>1588.50999999999</v>
      </c>
    </row>
    <row r="12" spans="1:8">
      <c r="A12" s="1" t="s">
        <v>39</v>
      </c>
      <c r="B12" s="1" t="s">
        <v>44</v>
      </c>
      <c r="C12" s="18">
        <f>SUMIFS('SQL Export'!$G$2:$G$93,'SQL Export'!$C$2:$C$93,$A12,'SQL Export'!$D$2:$D$93,$B12,'SQL Export'!$E$2:$E$93,1)</f>
        <v>192</v>
      </c>
      <c r="D12" s="18">
        <f>SUMIFS('SQL Export'!$G$2:$G$93,'SQL Export'!$C$2:$C$93,$A12,'SQL Export'!$D$2:$D$93,$B12,'SQL Export'!$E$2:$E$93,2)</f>
        <v>100</v>
      </c>
      <c r="E12" s="18">
        <f>SUMIFS('SQL Export'!$G$2:$G$93,'SQL Export'!$C$2:$C$93,$A12,'SQL Export'!$D$2:$D$93,$B12,'SQL Export'!$E$2:$E$93,3)</f>
        <v>70</v>
      </c>
      <c r="F12" s="18">
        <f>SUMIFS('SQL Export'!$G$2:$G$93,'SQL Export'!$C$2:$C$93,$A12,'SQL Export'!$D$2:$D$93,$B12,'SQL Export'!$E$2:$E$93,4)</f>
        <v>51</v>
      </c>
      <c r="G12" s="3">
        <f t="shared" si="0"/>
        <v>0.265625</v>
      </c>
      <c r="H12" s="4">
        <f>SUMIFS('SQL Export'!$M$2:$M$93,'SQL Export'!$C$2:$C$93,$A12,'SQL Export'!$D$2:$D$93,$B12,'SQL Export'!$E$2:$E$93,4)</f>
        <v>5992.5599999999904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6D8A"/>
  </sheetPr>
  <dimension ref="A2:F18"/>
  <sheetViews>
    <sheetView showGridLines="0" workbookViewId="0">
      <pane ySplit="4" topLeftCell="A5" activePane="bottomLeft" state="frozen"/>
      <selection pane="bottomLeft"/>
    </sheetView>
  </sheetViews>
  <sheetFormatPr defaultRowHeight="13.8"/>
  <cols>
    <col min="1" max="1" width="18" customWidth="1"/>
    <col min="2" max="6" width="22" customWidth="1"/>
  </cols>
  <sheetData>
    <row r="2" spans="1:6" ht="17.399999999999999">
      <c r="A2" s="5" t="s">
        <v>45</v>
      </c>
    </row>
    <row r="3" spans="1:6">
      <c r="A3" s="17" t="s">
        <v>46</v>
      </c>
    </row>
    <row r="4" spans="1:6" ht="30" customHeight="1">
      <c r="A4" s="2" t="s">
        <v>47</v>
      </c>
      <c r="B4" s="2" t="s">
        <v>48</v>
      </c>
      <c r="C4" s="2" t="s">
        <v>9</v>
      </c>
      <c r="D4" s="2" t="s">
        <v>10</v>
      </c>
      <c r="E4" s="2" t="s">
        <v>49</v>
      </c>
      <c r="F4" s="2" t="s">
        <v>50</v>
      </c>
    </row>
    <row r="5" spans="1:6">
      <c r="A5" s="1" t="s">
        <v>51</v>
      </c>
      <c r="B5" s="18">
        <f>SUMIFS('SQL Export'!$G$2:$G$93,'SQL Export'!$C$2:$C$93,"Week",'SQL Export'!$D$2:$D$93,$A5,'SQL Export'!$E$2:$E$93,1)</f>
        <v>54</v>
      </c>
      <c r="C5" s="18">
        <f>SUMIFS('SQL Export'!$G$2:$G$93,'SQL Export'!$C$2:$C$93,"Week",'SQL Export'!$D$2:$D$93,$A5,'SQL Export'!$E$2:$E$93,2)</f>
        <v>21</v>
      </c>
      <c r="D5" s="18">
        <f>SUMIFS('SQL Export'!$G$2:$G$93,'SQL Export'!$C$2:$C$93,"Week",'SQL Export'!$D$2:$D$93,$A5,'SQL Export'!$E$2:$E$93,3)</f>
        <v>14</v>
      </c>
      <c r="E5" s="18">
        <f>SUMIFS('SQL Export'!$G$2:$G$93,'SQL Export'!$C$2:$C$93,"Week",'SQL Export'!$D$2:$D$93,$A5,'SQL Export'!$E$2:$E$93,4)</f>
        <v>10</v>
      </c>
      <c r="F5" s="3">
        <f t="shared" ref="F5:F18" si="0">IFERROR(E5/B5,0)</f>
        <v>0.18518518518518517</v>
      </c>
    </row>
    <row r="6" spans="1:6">
      <c r="A6" s="1" t="s">
        <v>52</v>
      </c>
      <c r="B6" s="18">
        <f>SUMIFS('SQL Export'!$G$2:$G$93,'SQL Export'!$C$2:$C$93,"Week",'SQL Export'!$D$2:$D$93,$A6,'SQL Export'!$E$2:$E$93,1)</f>
        <v>73</v>
      </c>
      <c r="C6" s="18">
        <f>SUMIFS('SQL Export'!$G$2:$G$93,'SQL Export'!$C$2:$C$93,"Week",'SQL Export'!$D$2:$D$93,$A6,'SQL Export'!$E$2:$E$93,2)</f>
        <v>31</v>
      </c>
      <c r="D6" s="18">
        <f>SUMIFS('SQL Export'!$G$2:$G$93,'SQL Export'!$C$2:$C$93,"Week",'SQL Export'!$D$2:$D$93,$A6,'SQL Export'!$E$2:$E$93,3)</f>
        <v>17</v>
      </c>
      <c r="E6" s="18">
        <f>SUMIFS('SQL Export'!$G$2:$G$93,'SQL Export'!$C$2:$C$93,"Week",'SQL Export'!$D$2:$D$93,$A6,'SQL Export'!$E$2:$E$93,4)</f>
        <v>13</v>
      </c>
      <c r="F6" s="3">
        <f t="shared" si="0"/>
        <v>0.17808219178082191</v>
      </c>
    </row>
    <row r="7" spans="1:6">
      <c r="A7" s="1" t="s">
        <v>53</v>
      </c>
      <c r="B7" s="18">
        <f>SUMIFS('SQL Export'!$G$2:$G$93,'SQL Export'!$C$2:$C$93,"Week",'SQL Export'!$D$2:$D$93,$A7,'SQL Export'!$E$2:$E$93,1)</f>
        <v>77</v>
      </c>
      <c r="C7" s="18">
        <f>SUMIFS('SQL Export'!$G$2:$G$93,'SQL Export'!$C$2:$C$93,"Week",'SQL Export'!$D$2:$D$93,$A7,'SQL Export'!$E$2:$E$93,2)</f>
        <v>38</v>
      </c>
      <c r="D7" s="18">
        <f>SUMIFS('SQL Export'!$G$2:$G$93,'SQL Export'!$C$2:$C$93,"Week",'SQL Export'!$D$2:$D$93,$A7,'SQL Export'!$E$2:$E$93,3)</f>
        <v>19</v>
      </c>
      <c r="E7" s="18">
        <f>SUMIFS('SQL Export'!$G$2:$G$93,'SQL Export'!$C$2:$C$93,"Week",'SQL Export'!$D$2:$D$93,$A7,'SQL Export'!$E$2:$E$93,4)</f>
        <v>15</v>
      </c>
      <c r="F7" s="3">
        <f t="shared" si="0"/>
        <v>0.19480519480519481</v>
      </c>
    </row>
    <row r="8" spans="1:6">
      <c r="A8" s="1" t="s">
        <v>54</v>
      </c>
      <c r="B8" s="18">
        <f>SUMIFS('SQL Export'!$G$2:$G$93,'SQL Export'!$C$2:$C$93,"Week",'SQL Export'!$D$2:$D$93,$A8,'SQL Export'!$E$2:$E$93,1)</f>
        <v>83</v>
      </c>
      <c r="C8" s="18">
        <f>SUMIFS('SQL Export'!$G$2:$G$93,'SQL Export'!$C$2:$C$93,"Week",'SQL Export'!$D$2:$D$93,$A8,'SQL Export'!$E$2:$E$93,2)</f>
        <v>33</v>
      </c>
      <c r="D8" s="18">
        <f>SUMIFS('SQL Export'!$G$2:$G$93,'SQL Export'!$C$2:$C$93,"Week",'SQL Export'!$D$2:$D$93,$A8,'SQL Export'!$E$2:$E$93,3)</f>
        <v>21</v>
      </c>
      <c r="E8" s="18">
        <f>SUMIFS('SQL Export'!$G$2:$G$93,'SQL Export'!$C$2:$C$93,"Week",'SQL Export'!$D$2:$D$93,$A8,'SQL Export'!$E$2:$E$93,4)</f>
        <v>17</v>
      </c>
      <c r="F8" s="3">
        <f t="shared" si="0"/>
        <v>0.20481927710843373</v>
      </c>
    </row>
    <row r="9" spans="1:6">
      <c r="A9" s="1" t="s">
        <v>55</v>
      </c>
      <c r="B9" s="18">
        <f>SUMIFS('SQL Export'!$G$2:$G$93,'SQL Export'!$C$2:$C$93,"Week",'SQL Export'!$D$2:$D$93,$A9,'SQL Export'!$E$2:$E$93,1)</f>
        <v>63</v>
      </c>
      <c r="C9" s="18">
        <f>SUMIFS('SQL Export'!$G$2:$G$93,'SQL Export'!$C$2:$C$93,"Week",'SQL Export'!$D$2:$D$93,$A9,'SQL Export'!$E$2:$E$93,2)</f>
        <v>26</v>
      </c>
      <c r="D9" s="18">
        <f>SUMIFS('SQL Export'!$G$2:$G$93,'SQL Export'!$C$2:$C$93,"Week",'SQL Export'!$D$2:$D$93,$A9,'SQL Export'!$E$2:$E$93,3)</f>
        <v>15</v>
      </c>
      <c r="E9" s="18">
        <f>SUMIFS('SQL Export'!$G$2:$G$93,'SQL Export'!$C$2:$C$93,"Week",'SQL Export'!$D$2:$D$93,$A9,'SQL Export'!$E$2:$E$93,4)</f>
        <v>11</v>
      </c>
      <c r="F9" s="3">
        <f t="shared" si="0"/>
        <v>0.17460317460317459</v>
      </c>
    </row>
    <row r="10" spans="1:6">
      <c r="A10" s="1" t="s">
        <v>56</v>
      </c>
      <c r="B10" s="18">
        <f>SUMIFS('SQL Export'!$G$2:$G$93,'SQL Export'!$C$2:$C$93,"Week",'SQL Export'!$D$2:$D$93,$A10,'SQL Export'!$E$2:$E$93,1)</f>
        <v>73</v>
      </c>
      <c r="C10" s="18">
        <f>SUMIFS('SQL Export'!$G$2:$G$93,'SQL Export'!$C$2:$C$93,"Week",'SQL Export'!$D$2:$D$93,$A10,'SQL Export'!$E$2:$E$93,2)</f>
        <v>30</v>
      </c>
      <c r="D10" s="18">
        <f>SUMIFS('SQL Export'!$G$2:$G$93,'SQL Export'!$C$2:$C$93,"Week",'SQL Export'!$D$2:$D$93,$A10,'SQL Export'!$E$2:$E$93,3)</f>
        <v>23</v>
      </c>
      <c r="E10" s="18">
        <f>SUMIFS('SQL Export'!$G$2:$G$93,'SQL Export'!$C$2:$C$93,"Week",'SQL Export'!$D$2:$D$93,$A10,'SQL Export'!$E$2:$E$93,4)</f>
        <v>14</v>
      </c>
      <c r="F10" s="3">
        <f t="shared" si="0"/>
        <v>0.19178082191780821</v>
      </c>
    </row>
    <row r="11" spans="1:6">
      <c r="A11" s="1" t="s">
        <v>57</v>
      </c>
      <c r="B11" s="18">
        <f>SUMIFS('SQL Export'!$G$2:$G$93,'SQL Export'!$C$2:$C$93,"Week",'SQL Export'!$D$2:$D$93,$A11,'SQL Export'!$E$2:$E$93,1)</f>
        <v>95</v>
      </c>
      <c r="C11" s="18">
        <f>SUMIFS('SQL Export'!$G$2:$G$93,'SQL Export'!$C$2:$C$93,"Week",'SQL Export'!$D$2:$D$93,$A11,'SQL Export'!$E$2:$E$93,2)</f>
        <v>37</v>
      </c>
      <c r="D11" s="18">
        <f>SUMIFS('SQL Export'!$G$2:$G$93,'SQL Export'!$C$2:$C$93,"Week",'SQL Export'!$D$2:$D$93,$A11,'SQL Export'!$E$2:$E$93,3)</f>
        <v>20</v>
      </c>
      <c r="E11" s="18">
        <f>SUMIFS('SQL Export'!$G$2:$G$93,'SQL Export'!$C$2:$C$93,"Week",'SQL Export'!$D$2:$D$93,$A11,'SQL Export'!$E$2:$E$93,4)</f>
        <v>14</v>
      </c>
      <c r="F11" s="3">
        <f t="shared" si="0"/>
        <v>0.14736842105263157</v>
      </c>
    </row>
    <row r="12" spans="1:6">
      <c r="A12" s="1" t="s">
        <v>58</v>
      </c>
      <c r="B12" s="18">
        <f>SUMIFS('SQL Export'!$G$2:$G$93,'SQL Export'!$C$2:$C$93,"Week",'SQL Export'!$D$2:$D$93,$A12,'SQL Export'!$E$2:$E$93,1)</f>
        <v>79</v>
      </c>
      <c r="C12" s="18">
        <f>SUMIFS('SQL Export'!$G$2:$G$93,'SQL Export'!$C$2:$C$93,"Week",'SQL Export'!$D$2:$D$93,$A12,'SQL Export'!$E$2:$E$93,2)</f>
        <v>37</v>
      </c>
      <c r="D12" s="18">
        <f>SUMIFS('SQL Export'!$G$2:$G$93,'SQL Export'!$C$2:$C$93,"Week",'SQL Export'!$D$2:$D$93,$A12,'SQL Export'!$E$2:$E$93,3)</f>
        <v>24</v>
      </c>
      <c r="E12" s="18">
        <f>SUMIFS('SQL Export'!$G$2:$G$93,'SQL Export'!$C$2:$C$93,"Week",'SQL Export'!$D$2:$D$93,$A12,'SQL Export'!$E$2:$E$93,4)</f>
        <v>15</v>
      </c>
      <c r="F12" s="3">
        <f t="shared" si="0"/>
        <v>0.189873417721519</v>
      </c>
    </row>
    <row r="13" spans="1:6">
      <c r="A13" s="1" t="s">
        <v>59</v>
      </c>
      <c r="B13" s="18">
        <f>SUMIFS('SQL Export'!$G$2:$G$93,'SQL Export'!$C$2:$C$93,"Week",'SQL Export'!$D$2:$D$93,$A13,'SQL Export'!$E$2:$E$93,1)</f>
        <v>86</v>
      </c>
      <c r="C13" s="18">
        <f>SUMIFS('SQL Export'!$G$2:$G$93,'SQL Export'!$C$2:$C$93,"Week",'SQL Export'!$D$2:$D$93,$A13,'SQL Export'!$E$2:$E$93,2)</f>
        <v>34</v>
      </c>
      <c r="D13" s="18">
        <f>SUMIFS('SQL Export'!$G$2:$G$93,'SQL Export'!$C$2:$C$93,"Week",'SQL Export'!$D$2:$D$93,$A13,'SQL Export'!$E$2:$E$93,3)</f>
        <v>18</v>
      </c>
      <c r="E13" s="18">
        <f>SUMIFS('SQL Export'!$G$2:$G$93,'SQL Export'!$C$2:$C$93,"Week",'SQL Export'!$D$2:$D$93,$A13,'SQL Export'!$E$2:$E$93,4)</f>
        <v>12</v>
      </c>
      <c r="F13" s="3">
        <f t="shared" si="0"/>
        <v>0.13953488372093023</v>
      </c>
    </row>
    <row r="14" spans="1:6">
      <c r="A14" s="1" t="s">
        <v>60</v>
      </c>
      <c r="B14" s="18">
        <f>SUMIFS('SQL Export'!$G$2:$G$93,'SQL Export'!$C$2:$C$93,"Week",'SQL Export'!$D$2:$D$93,$A14,'SQL Export'!$E$2:$E$93,1)</f>
        <v>76</v>
      </c>
      <c r="C14" s="18">
        <f>SUMIFS('SQL Export'!$G$2:$G$93,'SQL Export'!$C$2:$C$93,"Week",'SQL Export'!$D$2:$D$93,$A14,'SQL Export'!$E$2:$E$93,2)</f>
        <v>38</v>
      </c>
      <c r="D14" s="18">
        <f>SUMIFS('SQL Export'!$G$2:$G$93,'SQL Export'!$C$2:$C$93,"Week",'SQL Export'!$D$2:$D$93,$A14,'SQL Export'!$E$2:$E$93,3)</f>
        <v>24</v>
      </c>
      <c r="E14" s="18">
        <f>SUMIFS('SQL Export'!$G$2:$G$93,'SQL Export'!$C$2:$C$93,"Week",'SQL Export'!$D$2:$D$93,$A14,'SQL Export'!$E$2:$E$93,4)</f>
        <v>17</v>
      </c>
      <c r="F14" s="3">
        <f t="shared" si="0"/>
        <v>0.22368421052631579</v>
      </c>
    </row>
    <row r="15" spans="1:6">
      <c r="A15" s="1" t="s">
        <v>61</v>
      </c>
      <c r="B15" s="18">
        <f>SUMIFS('SQL Export'!$G$2:$G$93,'SQL Export'!$C$2:$C$93,"Week",'SQL Export'!$D$2:$D$93,$A15,'SQL Export'!$E$2:$E$93,1)</f>
        <v>74</v>
      </c>
      <c r="C15" s="18">
        <f>SUMIFS('SQL Export'!$G$2:$G$93,'SQL Export'!$C$2:$C$93,"Week",'SQL Export'!$D$2:$D$93,$A15,'SQL Export'!$E$2:$E$93,2)</f>
        <v>36</v>
      </c>
      <c r="D15" s="18">
        <f>SUMIFS('SQL Export'!$G$2:$G$93,'SQL Export'!$C$2:$C$93,"Week",'SQL Export'!$D$2:$D$93,$A15,'SQL Export'!$E$2:$E$93,3)</f>
        <v>22</v>
      </c>
      <c r="E15" s="18">
        <f>SUMIFS('SQL Export'!$G$2:$G$93,'SQL Export'!$C$2:$C$93,"Week",'SQL Export'!$D$2:$D$93,$A15,'SQL Export'!$E$2:$E$93,4)</f>
        <v>15</v>
      </c>
      <c r="F15" s="3">
        <f t="shared" si="0"/>
        <v>0.20270270270270271</v>
      </c>
    </row>
    <row r="16" spans="1:6">
      <c r="A16" s="1" t="s">
        <v>62</v>
      </c>
      <c r="B16" s="18">
        <f>SUMIFS('SQL Export'!$G$2:$G$93,'SQL Export'!$C$2:$C$93,"Week",'SQL Export'!$D$2:$D$93,$A16,'SQL Export'!$E$2:$E$93,1)</f>
        <v>75</v>
      </c>
      <c r="C16" s="18">
        <f>SUMIFS('SQL Export'!$G$2:$G$93,'SQL Export'!$C$2:$C$93,"Week",'SQL Export'!$D$2:$D$93,$A16,'SQL Export'!$E$2:$E$93,2)</f>
        <v>44</v>
      </c>
      <c r="D16" s="18">
        <f>SUMIFS('SQL Export'!$G$2:$G$93,'SQL Export'!$C$2:$C$93,"Week",'SQL Export'!$D$2:$D$93,$A16,'SQL Export'!$E$2:$E$93,3)</f>
        <v>28</v>
      </c>
      <c r="E16" s="18">
        <f>SUMIFS('SQL Export'!$G$2:$G$93,'SQL Export'!$C$2:$C$93,"Week",'SQL Export'!$D$2:$D$93,$A16,'SQL Export'!$E$2:$E$93,4)</f>
        <v>18</v>
      </c>
      <c r="F16" s="3">
        <f t="shared" si="0"/>
        <v>0.24</v>
      </c>
    </row>
    <row r="17" spans="1:6">
      <c r="A17" s="1" t="s">
        <v>63</v>
      </c>
      <c r="B17" s="18">
        <f>SUMIFS('SQL Export'!$G$2:$G$93,'SQL Export'!$C$2:$C$93,"Week",'SQL Export'!$D$2:$D$93,$A17,'SQL Export'!$E$2:$E$93,1)</f>
        <v>74</v>
      </c>
      <c r="C17" s="18">
        <f>SUMIFS('SQL Export'!$G$2:$G$93,'SQL Export'!$C$2:$C$93,"Week",'SQL Export'!$D$2:$D$93,$A17,'SQL Export'!$E$2:$E$93,2)</f>
        <v>34</v>
      </c>
      <c r="D17" s="18">
        <f>SUMIFS('SQL Export'!$G$2:$G$93,'SQL Export'!$C$2:$C$93,"Week",'SQL Export'!$D$2:$D$93,$A17,'SQL Export'!$E$2:$E$93,3)</f>
        <v>16</v>
      </c>
      <c r="E17" s="18">
        <f>SUMIFS('SQL Export'!$G$2:$G$93,'SQL Export'!$C$2:$C$93,"Week",'SQL Export'!$D$2:$D$93,$A17,'SQL Export'!$E$2:$E$93,4)</f>
        <v>12</v>
      </c>
      <c r="F17" s="3">
        <f t="shared" si="0"/>
        <v>0.16216216216216217</v>
      </c>
    </row>
    <row r="18" spans="1:6">
      <c r="A18" s="1" t="s">
        <v>64</v>
      </c>
      <c r="B18" s="18">
        <f>SUMIFS('SQL Export'!$G$2:$G$93,'SQL Export'!$C$2:$C$93,"Week",'SQL Export'!$D$2:$D$93,$A18,'SQL Export'!$E$2:$E$93,1)</f>
        <v>18</v>
      </c>
      <c r="C18" s="18">
        <f>SUMIFS('SQL Export'!$G$2:$G$93,'SQL Export'!$C$2:$C$93,"Week",'SQL Export'!$D$2:$D$93,$A18,'SQL Export'!$E$2:$E$93,2)</f>
        <v>4</v>
      </c>
      <c r="D18" s="18">
        <f>SUMIFS('SQL Export'!$G$2:$G$93,'SQL Export'!$C$2:$C$93,"Week",'SQL Export'!$D$2:$D$93,$A18,'SQL Export'!$E$2:$E$93,3)</f>
        <v>2</v>
      </c>
      <c r="E18" s="18">
        <f>SUMIFS('SQL Export'!$G$2:$G$93,'SQL Export'!$C$2:$C$93,"Week",'SQL Export'!$D$2:$D$93,$A18,'SQL Export'!$E$2:$E$93,4)</f>
        <v>0</v>
      </c>
      <c r="F18" s="3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3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2" width="17" customWidth="1"/>
    <col min="3" max="3" width="14" customWidth="1"/>
    <col min="4" max="4" width="25" customWidth="1"/>
    <col min="5" max="5" width="12" customWidth="1"/>
    <col min="6" max="6" width="19" customWidth="1"/>
    <col min="7" max="13" width="22" customWidth="1"/>
  </cols>
  <sheetData>
    <row r="1" spans="1:13" ht="31.95" customHeight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  <row r="2" spans="1:13">
      <c r="A2" s="27">
        <v>46204</v>
      </c>
      <c r="B2" s="27">
        <v>46293</v>
      </c>
      <c r="C2" t="s">
        <v>78</v>
      </c>
      <c r="D2" t="s">
        <v>79</v>
      </c>
      <c r="E2">
        <v>1</v>
      </c>
      <c r="F2" t="s">
        <v>8</v>
      </c>
      <c r="G2">
        <v>1000</v>
      </c>
      <c r="K2">
        <v>1000</v>
      </c>
      <c r="L2">
        <v>1</v>
      </c>
    </row>
    <row r="3" spans="1:13">
      <c r="A3" s="27">
        <v>46204</v>
      </c>
      <c r="B3" s="27">
        <v>46293</v>
      </c>
      <c r="C3" t="s">
        <v>78</v>
      </c>
      <c r="D3" t="s">
        <v>79</v>
      </c>
      <c r="E3">
        <v>2</v>
      </c>
      <c r="F3" t="s">
        <v>9</v>
      </c>
      <c r="G3">
        <v>443</v>
      </c>
      <c r="H3">
        <v>1000</v>
      </c>
      <c r="I3">
        <v>0.443</v>
      </c>
      <c r="J3">
        <v>0.55699999999999905</v>
      </c>
      <c r="K3">
        <v>1000</v>
      </c>
      <c r="L3">
        <v>0.443</v>
      </c>
    </row>
    <row r="4" spans="1:13">
      <c r="A4" s="27">
        <v>46204</v>
      </c>
      <c r="B4" s="27">
        <v>46293</v>
      </c>
      <c r="C4" t="s">
        <v>78</v>
      </c>
      <c r="D4" t="s">
        <v>79</v>
      </c>
      <c r="E4">
        <v>3</v>
      </c>
      <c r="F4" t="s">
        <v>10</v>
      </c>
      <c r="G4">
        <v>263</v>
      </c>
      <c r="H4">
        <v>443</v>
      </c>
      <c r="I4">
        <v>0.59367945823927704</v>
      </c>
      <c r="J4">
        <v>0.40632054176072202</v>
      </c>
      <c r="K4">
        <v>1000</v>
      </c>
      <c r="L4">
        <v>0.26300000000000001</v>
      </c>
    </row>
    <row r="5" spans="1:13">
      <c r="A5" s="27">
        <v>46204</v>
      </c>
      <c r="B5" s="27">
        <v>46293</v>
      </c>
      <c r="C5" t="s">
        <v>78</v>
      </c>
      <c r="D5" t="s">
        <v>79</v>
      </c>
      <c r="E5">
        <v>4</v>
      </c>
      <c r="F5" t="s">
        <v>11</v>
      </c>
      <c r="G5">
        <v>183</v>
      </c>
      <c r="H5">
        <v>263</v>
      </c>
      <c r="I5">
        <v>0.69581749049429598</v>
      </c>
      <c r="J5">
        <v>0.30418250950570302</v>
      </c>
      <c r="K5">
        <v>1000</v>
      </c>
      <c r="L5">
        <v>0.183</v>
      </c>
      <c r="M5">
        <v>20982.959999999901</v>
      </c>
    </row>
    <row r="6" spans="1:13">
      <c r="A6" s="27">
        <v>46204</v>
      </c>
      <c r="B6" s="27">
        <v>46293</v>
      </c>
      <c r="C6" t="s">
        <v>35</v>
      </c>
      <c r="D6" t="s">
        <v>37</v>
      </c>
      <c r="E6">
        <v>1</v>
      </c>
      <c r="F6" t="s">
        <v>8</v>
      </c>
      <c r="G6">
        <v>650</v>
      </c>
      <c r="K6">
        <v>650</v>
      </c>
      <c r="L6">
        <v>1</v>
      </c>
    </row>
    <row r="7" spans="1:13">
      <c r="A7" s="27">
        <v>46204</v>
      </c>
      <c r="B7" s="27">
        <v>46293</v>
      </c>
      <c r="C7" t="s">
        <v>35</v>
      </c>
      <c r="D7" t="s">
        <v>37</v>
      </c>
      <c r="E7">
        <v>2</v>
      </c>
      <c r="F7" t="s">
        <v>9</v>
      </c>
      <c r="G7">
        <v>272</v>
      </c>
      <c r="H7">
        <v>650</v>
      </c>
      <c r="I7">
        <v>0.418461538461538</v>
      </c>
      <c r="J7">
        <v>0.581538461538461</v>
      </c>
      <c r="K7">
        <v>650</v>
      </c>
      <c r="L7">
        <v>0.418461538461538</v>
      </c>
    </row>
    <row r="8" spans="1:13">
      <c r="A8" s="27">
        <v>46204</v>
      </c>
      <c r="B8" s="27">
        <v>46293</v>
      </c>
      <c r="C8" t="s">
        <v>35</v>
      </c>
      <c r="D8" t="s">
        <v>37</v>
      </c>
      <c r="E8">
        <v>3</v>
      </c>
      <c r="F8" t="s">
        <v>10</v>
      </c>
      <c r="G8">
        <v>147</v>
      </c>
      <c r="H8">
        <v>272</v>
      </c>
      <c r="I8">
        <v>0.54044117647058798</v>
      </c>
      <c r="J8">
        <v>0.45955882352941102</v>
      </c>
      <c r="K8">
        <v>650</v>
      </c>
      <c r="L8">
        <v>0.22615384615384601</v>
      </c>
    </row>
    <row r="9" spans="1:13">
      <c r="A9" s="27">
        <v>46204</v>
      </c>
      <c r="B9" s="27">
        <v>46293</v>
      </c>
      <c r="C9" t="s">
        <v>35</v>
      </c>
      <c r="D9" t="s">
        <v>37</v>
      </c>
      <c r="E9">
        <v>4</v>
      </c>
      <c r="F9" t="s">
        <v>11</v>
      </c>
      <c r="G9">
        <v>95</v>
      </c>
      <c r="H9">
        <v>147</v>
      </c>
      <c r="I9">
        <v>0.64625850340136004</v>
      </c>
      <c r="J9">
        <v>0.35374149659863902</v>
      </c>
      <c r="K9">
        <v>650</v>
      </c>
      <c r="L9">
        <v>0.146153846153846</v>
      </c>
      <c r="M9">
        <v>10793.0799999999</v>
      </c>
    </row>
    <row r="10" spans="1:13">
      <c r="A10" s="27">
        <v>46204</v>
      </c>
      <c r="B10" s="27">
        <v>46293</v>
      </c>
      <c r="C10" t="s">
        <v>35</v>
      </c>
      <c r="D10" t="s">
        <v>36</v>
      </c>
      <c r="E10">
        <v>1</v>
      </c>
      <c r="F10" t="s">
        <v>8</v>
      </c>
      <c r="G10">
        <v>294</v>
      </c>
      <c r="K10">
        <v>294</v>
      </c>
      <c r="L10">
        <v>1</v>
      </c>
    </row>
    <row r="11" spans="1:13">
      <c r="A11" s="27">
        <v>46204</v>
      </c>
      <c r="B11" s="27">
        <v>46293</v>
      </c>
      <c r="C11" t="s">
        <v>35</v>
      </c>
      <c r="D11" t="s">
        <v>36</v>
      </c>
      <c r="E11">
        <v>2</v>
      </c>
      <c r="F11" t="s">
        <v>9</v>
      </c>
      <c r="G11">
        <v>145</v>
      </c>
      <c r="H11">
        <v>294</v>
      </c>
      <c r="I11">
        <v>0.49319727891156401</v>
      </c>
      <c r="J11">
        <v>0.50680272108843505</v>
      </c>
      <c r="K11">
        <v>294</v>
      </c>
      <c r="L11">
        <v>0.49319727891156401</v>
      </c>
    </row>
    <row r="12" spans="1:13">
      <c r="A12" s="27">
        <v>46204</v>
      </c>
      <c r="B12" s="27">
        <v>46293</v>
      </c>
      <c r="C12" t="s">
        <v>35</v>
      </c>
      <c r="D12" t="s">
        <v>36</v>
      </c>
      <c r="E12">
        <v>3</v>
      </c>
      <c r="F12" t="s">
        <v>10</v>
      </c>
      <c r="G12">
        <v>99</v>
      </c>
      <c r="H12">
        <v>145</v>
      </c>
      <c r="I12">
        <v>0.68275862068965498</v>
      </c>
      <c r="J12">
        <v>0.31724137931034402</v>
      </c>
      <c r="K12">
        <v>294</v>
      </c>
      <c r="L12">
        <v>0.33673469387755101</v>
      </c>
    </row>
    <row r="13" spans="1:13">
      <c r="A13" s="27">
        <v>46204</v>
      </c>
      <c r="B13" s="27">
        <v>46293</v>
      </c>
      <c r="C13" t="s">
        <v>35</v>
      </c>
      <c r="D13" t="s">
        <v>36</v>
      </c>
      <c r="E13">
        <v>4</v>
      </c>
      <c r="F13" t="s">
        <v>11</v>
      </c>
      <c r="G13">
        <v>77</v>
      </c>
      <c r="H13">
        <v>99</v>
      </c>
      <c r="I13">
        <v>0.77777777777777701</v>
      </c>
      <c r="J13">
        <v>0.22222222222222199</v>
      </c>
      <c r="K13">
        <v>294</v>
      </c>
      <c r="L13">
        <v>0.26190476190476097</v>
      </c>
      <c r="M13">
        <v>9114.1699999999892</v>
      </c>
    </row>
    <row r="14" spans="1:13">
      <c r="A14" s="27">
        <v>46204</v>
      </c>
      <c r="B14" s="27">
        <v>46293</v>
      </c>
      <c r="C14" t="s">
        <v>35</v>
      </c>
      <c r="D14" t="s">
        <v>38</v>
      </c>
      <c r="E14">
        <v>1</v>
      </c>
      <c r="F14" t="s">
        <v>8</v>
      </c>
      <c r="G14">
        <v>56</v>
      </c>
      <c r="K14">
        <v>56</v>
      </c>
      <c r="L14">
        <v>1</v>
      </c>
    </row>
    <row r="15" spans="1:13">
      <c r="A15" s="27">
        <v>46204</v>
      </c>
      <c r="B15" s="27">
        <v>46293</v>
      </c>
      <c r="C15" t="s">
        <v>35</v>
      </c>
      <c r="D15" t="s">
        <v>38</v>
      </c>
      <c r="E15">
        <v>2</v>
      </c>
      <c r="F15" t="s">
        <v>9</v>
      </c>
      <c r="G15">
        <v>26</v>
      </c>
      <c r="H15">
        <v>56</v>
      </c>
      <c r="I15">
        <v>0.46428571428571402</v>
      </c>
      <c r="J15">
        <v>0.53571428571428503</v>
      </c>
      <c r="K15">
        <v>56</v>
      </c>
      <c r="L15">
        <v>0.46428571428571402</v>
      </c>
    </row>
    <row r="16" spans="1:13">
      <c r="A16" s="27">
        <v>46204</v>
      </c>
      <c r="B16" s="27">
        <v>46293</v>
      </c>
      <c r="C16" t="s">
        <v>35</v>
      </c>
      <c r="D16" t="s">
        <v>38</v>
      </c>
      <c r="E16">
        <v>3</v>
      </c>
      <c r="F16" t="s">
        <v>10</v>
      </c>
      <c r="G16">
        <v>17</v>
      </c>
      <c r="H16">
        <v>26</v>
      </c>
      <c r="I16">
        <v>0.65384615384615297</v>
      </c>
      <c r="J16">
        <v>0.34615384615384598</v>
      </c>
      <c r="K16">
        <v>56</v>
      </c>
      <c r="L16">
        <v>0.30357142857142799</v>
      </c>
    </row>
    <row r="17" spans="1:13">
      <c r="A17" s="27">
        <v>46204</v>
      </c>
      <c r="B17" s="27">
        <v>46293</v>
      </c>
      <c r="C17" t="s">
        <v>35</v>
      </c>
      <c r="D17" t="s">
        <v>38</v>
      </c>
      <c r="E17">
        <v>4</v>
      </c>
      <c r="F17" t="s">
        <v>11</v>
      </c>
      <c r="G17">
        <v>11</v>
      </c>
      <c r="H17">
        <v>17</v>
      </c>
      <c r="I17">
        <v>0.64705882352941102</v>
      </c>
      <c r="J17">
        <v>0.35294117647058798</v>
      </c>
      <c r="K17">
        <v>56</v>
      </c>
      <c r="L17">
        <v>0.19642857142857101</v>
      </c>
      <c r="M17">
        <v>1075.71</v>
      </c>
    </row>
    <row r="18" spans="1:13">
      <c r="A18" s="27">
        <v>46204</v>
      </c>
      <c r="B18" s="27">
        <v>46293</v>
      </c>
      <c r="C18" t="s">
        <v>39</v>
      </c>
      <c r="D18" t="s">
        <v>41</v>
      </c>
      <c r="E18">
        <v>1</v>
      </c>
      <c r="F18" t="s">
        <v>8</v>
      </c>
      <c r="G18">
        <v>239</v>
      </c>
      <c r="K18">
        <v>239</v>
      </c>
      <c r="L18">
        <v>1</v>
      </c>
    </row>
    <row r="19" spans="1:13">
      <c r="A19" s="27">
        <v>46204</v>
      </c>
      <c r="B19" s="27">
        <v>46293</v>
      </c>
      <c r="C19" t="s">
        <v>39</v>
      </c>
      <c r="D19" t="s">
        <v>41</v>
      </c>
      <c r="E19">
        <v>2</v>
      </c>
      <c r="F19" t="s">
        <v>9</v>
      </c>
      <c r="G19">
        <v>100</v>
      </c>
      <c r="H19">
        <v>239</v>
      </c>
      <c r="I19">
        <v>0.418410041841004</v>
      </c>
      <c r="J19">
        <v>0.58158995815899495</v>
      </c>
      <c r="K19">
        <v>239</v>
      </c>
      <c r="L19">
        <v>0.418410041841004</v>
      </c>
    </row>
    <row r="20" spans="1:13">
      <c r="A20" s="27">
        <v>46204</v>
      </c>
      <c r="B20" s="27">
        <v>46293</v>
      </c>
      <c r="C20" t="s">
        <v>39</v>
      </c>
      <c r="D20" t="s">
        <v>41</v>
      </c>
      <c r="E20">
        <v>3</v>
      </c>
      <c r="F20" t="s">
        <v>10</v>
      </c>
      <c r="G20">
        <v>50</v>
      </c>
      <c r="H20">
        <v>100</v>
      </c>
      <c r="I20">
        <v>0.5</v>
      </c>
      <c r="J20">
        <v>0.5</v>
      </c>
      <c r="K20">
        <v>239</v>
      </c>
      <c r="L20">
        <v>0.209205020920502</v>
      </c>
    </row>
    <row r="21" spans="1:13">
      <c r="A21" s="27">
        <v>46204</v>
      </c>
      <c r="B21" s="27">
        <v>46293</v>
      </c>
      <c r="C21" t="s">
        <v>39</v>
      </c>
      <c r="D21" t="s">
        <v>41</v>
      </c>
      <c r="E21">
        <v>4</v>
      </c>
      <c r="F21" t="s">
        <v>11</v>
      </c>
      <c r="G21">
        <v>33</v>
      </c>
      <c r="H21">
        <v>50</v>
      </c>
      <c r="I21">
        <v>0.66</v>
      </c>
      <c r="J21">
        <v>0.33999999999999903</v>
      </c>
      <c r="K21">
        <v>239</v>
      </c>
      <c r="L21">
        <v>0.13807531380753099</v>
      </c>
      <c r="M21">
        <v>3592.29</v>
      </c>
    </row>
    <row r="22" spans="1:13">
      <c r="A22" s="27">
        <v>46204</v>
      </c>
      <c r="B22" s="27">
        <v>46293</v>
      </c>
      <c r="C22" t="s">
        <v>39</v>
      </c>
      <c r="D22" t="s">
        <v>40</v>
      </c>
      <c r="E22">
        <v>1</v>
      </c>
      <c r="F22" t="s">
        <v>8</v>
      </c>
      <c r="G22">
        <v>79</v>
      </c>
      <c r="K22">
        <v>79</v>
      </c>
      <c r="L22">
        <v>1</v>
      </c>
    </row>
    <row r="23" spans="1:13">
      <c r="A23" s="27">
        <v>46204</v>
      </c>
      <c r="B23" s="27">
        <v>46293</v>
      </c>
      <c r="C23" t="s">
        <v>39</v>
      </c>
      <c r="D23" t="s">
        <v>40</v>
      </c>
      <c r="E23">
        <v>2</v>
      </c>
      <c r="F23" t="s">
        <v>9</v>
      </c>
      <c r="G23">
        <v>35</v>
      </c>
      <c r="H23">
        <v>79</v>
      </c>
      <c r="I23">
        <v>0.443037974683544</v>
      </c>
      <c r="J23">
        <v>0.556962025316455</v>
      </c>
      <c r="K23">
        <v>79</v>
      </c>
      <c r="L23">
        <v>0.443037974683544</v>
      </c>
    </row>
    <row r="24" spans="1:13">
      <c r="A24" s="27">
        <v>46204</v>
      </c>
      <c r="B24" s="27">
        <v>46293</v>
      </c>
      <c r="C24" t="s">
        <v>39</v>
      </c>
      <c r="D24" t="s">
        <v>40</v>
      </c>
      <c r="E24">
        <v>3</v>
      </c>
      <c r="F24" t="s">
        <v>10</v>
      </c>
      <c r="G24">
        <v>19</v>
      </c>
      <c r="H24">
        <v>35</v>
      </c>
      <c r="I24">
        <v>0.54285714285714204</v>
      </c>
      <c r="J24">
        <v>0.45714285714285702</v>
      </c>
      <c r="K24">
        <v>79</v>
      </c>
      <c r="L24">
        <v>0.240506329113924</v>
      </c>
    </row>
    <row r="25" spans="1:13">
      <c r="A25" s="27">
        <v>46204</v>
      </c>
      <c r="B25" s="27">
        <v>46293</v>
      </c>
      <c r="C25" t="s">
        <v>39</v>
      </c>
      <c r="D25" t="s">
        <v>40</v>
      </c>
      <c r="E25">
        <v>4</v>
      </c>
      <c r="F25" t="s">
        <v>11</v>
      </c>
      <c r="G25">
        <v>16</v>
      </c>
      <c r="H25">
        <v>19</v>
      </c>
      <c r="I25">
        <v>0.84210526315789402</v>
      </c>
      <c r="J25">
        <v>0.157894736842105</v>
      </c>
      <c r="K25">
        <v>79</v>
      </c>
      <c r="L25">
        <v>0.20253164556962</v>
      </c>
      <c r="M25">
        <v>1802.04</v>
      </c>
    </row>
    <row r="26" spans="1:13">
      <c r="A26" s="27">
        <v>46204</v>
      </c>
      <c r="B26" s="27">
        <v>46293</v>
      </c>
      <c r="C26" t="s">
        <v>39</v>
      </c>
      <c r="D26" t="s">
        <v>42</v>
      </c>
      <c r="E26">
        <v>1</v>
      </c>
      <c r="F26" t="s">
        <v>8</v>
      </c>
      <c r="G26">
        <v>348</v>
      </c>
      <c r="K26">
        <v>348</v>
      </c>
      <c r="L26">
        <v>1</v>
      </c>
    </row>
    <row r="27" spans="1:13">
      <c r="A27" s="27">
        <v>46204</v>
      </c>
      <c r="B27" s="27">
        <v>46293</v>
      </c>
      <c r="C27" t="s">
        <v>39</v>
      </c>
      <c r="D27" t="s">
        <v>42</v>
      </c>
      <c r="E27">
        <v>2</v>
      </c>
      <c r="F27" t="s">
        <v>9</v>
      </c>
      <c r="G27">
        <v>164</v>
      </c>
      <c r="H27">
        <v>348</v>
      </c>
      <c r="I27">
        <v>0.47126436781609099</v>
      </c>
      <c r="J27">
        <v>0.52873563218390796</v>
      </c>
      <c r="K27">
        <v>348</v>
      </c>
      <c r="L27">
        <v>0.47126436781609099</v>
      </c>
    </row>
    <row r="28" spans="1:13">
      <c r="A28" s="27">
        <v>46204</v>
      </c>
      <c r="B28" s="27">
        <v>46293</v>
      </c>
      <c r="C28" t="s">
        <v>39</v>
      </c>
      <c r="D28" t="s">
        <v>42</v>
      </c>
      <c r="E28">
        <v>3</v>
      </c>
      <c r="F28" t="s">
        <v>10</v>
      </c>
      <c r="G28">
        <v>100</v>
      </c>
      <c r="H28">
        <v>164</v>
      </c>
      <c r="I28">
        <v>0.60975609756097504</v>
      </c>
      <c r="J28">
        <v>0.39024390243902402</v>
      </c>
      <c r="K28">
        <v>348</v>
      </c>
      <c r="L28">
        <v>0.28735632183908</v>
      </c>
    </row>
    <row r="29" spans="1:13">
      <c r="A29" s="27">
        <v>46204</v>
      </c>
      <c r="B29" s="27">
        <v>46293</v>
      </c>
      <c r="C29" t="s">
        <v>39</v>
      </c>
      <c r="D29" t="s">
        <v>42</v>
      </c>
      <c r="E29">
        <v>4</v>
      </c>
      <c r="F29" t="s">
        <v>11</v>
      </c>
      <c r="G29">
        <v>69</v>
      </c>
      <c r="H29">
        <v>100</v>
      </c>
      <c r="I29">
        <v>0.69</v>
      </c>
      <c r="J29">
        <v>0.31</v>
      </c>
      <c r="K29">
        <v>348</v>
      </c>
      <c r="L29">
        <v>0.198275862068965</v>
      </c>
      <c r="M29">
        <v>8007.56</v>
      </c>
    </row>
    <row r="30" spans="1:13">
      <c r="A30" s="27">
        <v>46204</v>
      </c>
      <c r="B30" s="27">
        <v>46293</v>
      </c>
      <c r="C30" t="s">
        <v>39</v>
      </c>
      <c r="D30" t="s">
        <v>44</v>
      </c>
      <c r="E30">
        <v>1</v>
      </c>
      <c r="F30" t="s">
        <v>8</v>
      </c>
      <c r="G30">
        <v>192</v>
      </c>
      <c r="K30">
        <v>192</v>
      </c>
      <c r="L30">
        <v>1</v>
      </c>
    </row>
    <row r="31" spans="1:13">
      <c r="A31" s="27">
        <v>46204</v>
      </c>
      <c r="B31" s="27">
        <v>46293</v>
      </c>
      <c r="C31" t="s">
        <v>39</v>
      </c>
      <c r="D31" t="s">
        <v>44</v>
      </c>
      <c r="E31">
        <v>2</v>
      </c>
      <c r="F31" t="s">
        <v>9</v>
      </c>
      <c r="G31">
        <v>100</v>
      </c>
      <c r="H31">
        <v>192</v>
      </c>
      <c r="I31">
        <v>0.52083333333333304</v>
      </c>
      <c r="J31">
        <v>0.47916666666666602</v>
      </c>
      <c r="K31">
        <v>192</v>
      </c>
      <c r="L31">
        <v>0.52083333333333304</v>
      </c>
    </row>
    <row r="32" spans="1:13">
      <c r="A32" s="27">
        <v>46204</v>
      </c>
      <c r="B32" s="27">
        <v>46293</v>
      </c>
      <c r="C32" t="s">
        <v>39</v>
      </c>
      <c r="D32" t="s">
        <v>44</v>
      </c>
      <c r="E32">
        <v>3</v>
      </c>
      <c r="F32" t="s">
        <v>10</v>
      </c>
      <c r="G32">
        <v>70</v>
      </c>
      <c r="H32">
        <v>100</v>
      </c>
      <c r="I32">
        <v>0.7</v>
      </c>
      <c r="J32">
        <v>0.3</v>
      </c>
      <c r="K32">
        <v>192</v>
      </c>
      <c r="L32">
        <v>0.36458333333333298</v>
      </c>
    </row>
    <row r="33" spans="1:13">
      <c r="A33" s="27">
        <v>46204</v>
      </c>
      <c r="B33" s="27">
        <v>46293</v>
      </c>
      <c r="C33" t="s">
        <v>39</v>
      </c>
      <c r="D33" t="s">
        <v>44</v>
      </c>
      <c r="E33">
        <v>4</v>
      </c>
      <c r="F33" t="s">
        <v>11</v>
      </c>
      <c r="G33">
        <v>51</v>
      </c>
      <c r="H33">
        <v>70</v>
      </c>
      <c r="I33">
        <v>0.72857142857142798</v>
      </c>
      <c r="J33">
        <v>0.27142857142857102</v>
      </c>
      <c r="K33">
        <v>192</v>
      </c>
      <c r="L33">
        <v>0.265625</v>
      </c>
      <c r="M33">
        <v>5992.5599999999904</v>
      </c>
    </row>
    <row r="34" spans="1:13">
      <c r="A34" s="27">
        <v>46204</v>
      </c>
      <c r="B34" s="27">
        <v>46293</v>
      </c>
      <c r="C34" t="s">
        <v>39</v>
      </c>
      <c r="D34" t="s">
        <v>43</v>
      </c>
      <c r="E34">
        <v>1</v>
      </c>
      <c r="F34" t="s">
        <v>8</v>
      </c>
      <c r="G34">
        <v>142</v>
      </c>
      <c r="K34">
        <v>142</v>
      </c>
      <c r="L34">
        <v>1</v>
      </c>
    </row>
    <row r="35" spans="1:13">
      <c r="A35" s="27">
        <v>46204</v>
      </c>
      <c r="B35" s="27">
        <v>46293</v>
      </c>
      <c r="C35" t="s">
        <v>39</v>
      </c>
      <c r="D35" t="s">
        <v>43</v>
      </c>
      <c r="E35">
        <v>2</v>
      </c>
      <c r="F35" t="s">
        <v>9</v>
      </c>
      <c r="G35">
        <v>44</v>
      </c>
      <c r="H35">
        <v>142</v>
      </c>
      <c r="I35">
        <v>0.309859154929577</v>
      </c>
      <c r="J35">
        <v>0.69014084507042195</v>
      </c>
      <c r="K35">
        <v>142</v>
      </c>
      <c r="L35">
        <v>0.309859154929577</v>
      </c>
    </row>
    <row r="36" spans="1:13">
      <c r="A36" s="27">
        <v>46204</v>
      </c>
      <c r="B36" s="27">
        <v>46293</v>
      </c>
      <c r="C36" t="s">
        <v>39</v>
      </c>
      <c r="D36" t="s">
        <v>43</v>
      </c>
      <c r="E36">
        <v>3</v>
      </c>
      <c r="F36" t="s">
        <v>10</v>
      </c>
      <c r="G36">
        <v>24</v>
      </c>
      <c r="H36">
        <v>44</v>
      </c>
      <c r="I36">
        <v>0.54545454545454497</v>
      </c>
      <c r="J36">
        <v>0.45454545454545398</v>
      </c>
      <c r="K36">
        <v>142</v>
      </c>
      <c r="L36">
        <v>0.169014084507042</v>
      </c>
    </row>
    <row r="37" spans="1:13">
      <c r="A37" s="27">
        <v>46204</v>
      </c>
      <c r="B37" s="27">
        <v>46293</v>
      </c>
      <c r="C37" t="s">
        <v>39</v>
      </c>
      <c r="D37" t="s">
        <v>43</v>
      </c>
      <c r="E37">
        <v>4</v>
      </c>
      <c r="F37" t="s">
        <v>11</v>
      </c>
      <c r="G37">
        <v>14</v>
      </c>
      <c r="H37">
        <v>24</v>
      </c>
      <c r="I37">
        <v>0.58333333333333304</v>
      </c>
      <c r="J37">
        <v>0.41666666666666602</v>
      </c>
      <c r="K37">
        <v>142</v>
      </c>
      <c r="L37">
        <v>9.85915492957746E-2</v>
      </c>
      <c r="M37">
        <v>1588.50999999999</v>
      </c>
    </row>
    <row r="38" spans="1:13">
      <c r="A38" s="27">
        <v>46204</v>
      </c>
      <c r="B38" s="27">
        <v>46293</v>
      </c>
      <c r="C38" t="s">
        <v>80</v>
      </c>
      <c r="D38" t="s">
        <v>51</v>
      </c>
      <c r="E38">
        <v>1</v>
      </c>
      <c r="F38" t="s">
        <v>8</v>
      </c>
      <c r="G38">
        <v>54</v>
      </c>
      <c r="K38">
        <v>54</v>
      </c>
      <c r="L38">
        <v>1</v>
      </c>
    </row>
    <row r="39" spans="1:13">
      <c r="A39" s="27">
        <v>46204</v>
      </c>
      <c r="B39" s="27">
        <v>46293</v>
      </c>
      <c r="C39" t="s">
        <v>80</v>
      </c>
      <c r="D39" t="s">
        <v>51</v>
      </c>
      <c r="E39">
        <v>2</v>
      </c>
      <c r="F39" t="s">
        <v>9</v>
      </c>
      <c r="G39">
        <v>21</v>
      </c>
      <c r="H39">
        <v>54</v>
      </c>
      <c r="I39">
        <v>0.38888888888888801</v>
      </c>
      <c r="J39">
        <v>0.61111111111111105</v>
      </c>
      <c r="K39">
        <v>54</v>
      </c>
      <c r="L39">
        <v>0.38888888888888801</v>
      </c>
    </row>
    <row r="40" spans="1:13">
      <c r="A40" s="27">
        <v>46204</v>
      </c>
      <c r="B40" s="27">
        <v>46293</v>
      </c>
      <c r="C40" t="s">
        <v>80</v>
      </c>
      <c r="D40" t="s">
        <v>51</v>
      </c>
      <c r="E40">
        <v>3</v>
      </c>
      <c r="F40" t="s">
        <v>10</v>
      </c>
      <c r="G40">
        <v>14</v>
      </c>
      <c r="H40">
        <v>21</v>
      </c>
      <c r="I40">
        <v>0.66666666666666596</v>
      </c>
      <c r="J40">
        <v>0.33333333333333298</v>
      </c>
      <c r="K40">
        <v>54</v>
      </c>
      <c r="L40">
        <v>0.25925925925925902</v>
      </c>
    </row>
    <row r="41" spans="1:13">
      <c r="A41" s="27">
        <v>46204</v>
      </c>
      <c r="B41" s="27">
        <v>46293</v>
      </c>
      <c r="C41" t="s">
        <v>80</v>
      </c>
      <c r="D41" t="s">
        <v>51</v>
      </c>
      <c r="E41">
        <v>4</v>
      </c>
      <c r="F41" t="s">
        <v>11</v>
      </c>
      <c r="G41">
        <v>10</v>
      </c>
      <c r="H41">
        <v>14</v>
      </c>
      <c r="I41">
        <v>0.71428571428571397</v>
      </c>
      <c r="J41">
        <v>0.28571428571428498</v>
      </c>
      <c r="K41">
        <v>54</v>
      </c>
      <c r="L41">
        <v>0.18518518518518501</v>
      </c>
      <c r="M41">
        <v>1170.9199999999901</v>
      </c>
    </row>
    <row r="42" spans="1:13">
      <c r="A42" s="27">
        <v>46204</v>
      </c>
      <c r="B42" s="27">
        <v>46293</v>
      </c>
      <c r="C42" t="s">
        <v>80</v>
      </c>
      <c r="D42" t="s">
        <v>52</v>
      </c>
      <c r="E42">
        <v>1</v>
      </c>
      <c r="F42" t="s">
        <v>8</v>
      </c>
      <c r="G42">
        <v>73</v>
      </c>
      <c r="K42">
        <v>73</v>
      </c>
      <c r="L42">
        <v>1</v>
      </c>
    </row>
    <row r="43" spans="1:13">
      <c r="A43" s="27">
        <v>46204</v>
      </c>
      <c r="B43" s="27">
        <v>46293</v>
      </c>
      <c r="C43" t="s">
        <v>80</v>
      </c>
      <c r="D43" t="s">
        <v>52</v>
      </c>
      <c r="E43">
        <v>2</v>
      </c>
      <c r="F43" t="s">
        <v>9</v>
      </c>
      <c r="G43">
        <v>31</v>
      </c>
      <c r="H43">
        <v>73</v>
      </c>
      <c r="I43">
        <v>0.42465753424657499</v>
      </c>
      <c r="J43">
        <v>0.57534246575342396</v>
      </c>
      <c r="K43">
        <v>73</v>
      </c>
      <c r="L43">
        <v>0.42465753424657499</v>
      </c>
    </row>
    <row r="44" spans="1:13">
      <c r="A44" s="27">
        <v>46204</v>
      </c>
      <c r="B44" s="27">
        <v>46293</v>
      </c>
      <c r="C44" t="s">
        <v>80</v>
      </c>
      <c r="D44" t="s">
        <v>52</v>
      </c>
      <c r="E44">
        <v>3</v>
      </c>
      <c r="F44" t="s">
        <v>10</v>
      </c>
      <c r="G44">
        <v>17</v>
      </c>
      <c r="H44">
        <v>31</v>
      </c>
      <c r="I44">
        <v>0.54838709677419295</v>
      </c>
      <c r="J44">
        <v>0.45161290322580599</v>
      </c>
      <c r="K44">
        <v>73</v>
      </c>
      <c r="L44">
        <v>0.232876712328767</v>
      </c>
    </row>
    <row r="45" spans="1:13">
      <c r="A45" s="27">
        <v>46204</v>
      </c>
      <c r="B45" s="27">
        <v>46293</v>
      </c>
      <c r="C45" t="s">
        <v>80</v>
      </c>
      <c r="D45" t="s">
        <v>52</v>
      </c>
      <c r="E45">
        <v>4</v>
      </c>
      <c r="F45" t="s">
        <v>11</v>
      </c>
      <c r="G45">
        <v>13</v>
      </c>
      <c r="H45">
        <v>17</v>
      </c>
      <c r="I45">
        <v>0.76470588235294101</v>
      </c>
      <c r="J45">
        <v>0.23529411764705799</v>
      </c>
      <c r="K45">
        <v>73</v>
      </c>
      <c r="L45">
        <v>0.17808219178082099</v>
      </c>
      <c r="M45">
        <v>1556.62</v>
      </c>
    </row>
    <row r="46" spans="1:13">
      <c r="A46" s="27">
        <v>46204</v>
      </c>
      <c r="B46" s="27">
        <v>46293</v>
      </c>
      <c r="C46" t="s">
        <v>80</v>
      </c>
      <c r="D46" t="s">
        <v>53</v>
      </c>
      <c r="E46">
        <v>1</v>
      </c>
      <c r="F46" t="s">
        <v>8</v>
      </c>
      <c r="G46">
        <v>77</v>
      </c>
      <c r="K46">
        <v>77</v>
      </c>
      <c r="L46">
        <v>1</v>
      </c>
    </row>
    <row r="47" spans="1:13">
      <c r="A47" s="27">
        <v>46204</v>
      </c>
      <c r="B47" s="27">
        <v>46293</v>
      </c>
      <c r="C47" t="s">
        <v>80</v>
      </c>
      <c r="D47" t="s">
        <v>53</v>
      </c>
      <c r="E47">
        <v>2</v>
      </c>
      <c r="F47" t="s">
        <v>9</v>
      </c>
      <c r="G47">
        <v>38</v>
      </c>
      <c r="H47">
        <v>77</v>
      </c>
      <c r="I47">
        <v>0.493506493506493</v>
      </c>
      <c r="J47">
        <v>0.506493506493506</v>
      </c>
      <c r="K47">
        <v>77</v>
      </c>
      <c r="L47">
        <v>0.493506493506493</v>
      </c>
    </row>
    <row r="48" spans="1:13">
      <c r="A48" s="27">
        <v>46204</v>
      </c>
      <c r="B48" s="27">
        <v>46293</v>
      </c>
      <c r="C48" t="s">
        <v>80</v>
      </c>
      <c r="D48" t="s">
        <v>53</v>
      </c>
      <c r="E48">
        <v>3</v>
      </c>
      <c r="F48" t="s">
        <v>10</v>
      </c>
      <c r="G48">
        <v>19</v>
      </c>
      <c r="H48">
        <v>38</v>
      </c>
      <c r="I48">
        <v>0.5</v>
      </c>
      <c r="J48">
        <v>0.5</v>
      </c>
      <c r="K48">
        <v>77</v>
      </c>
      <c r="L48">
        <v>0.246753246753246</v>
      </c>
    </row>
    <row r="49" spans="1:13">
      <c r="A49" s="27">
        <v>46204</v>
      </c>
      <c r="B49" s="27">
        <v>46293</v>
      </c>
      <c r="C49" t="s">
        <v>80</v>
      </c>
      <c r="D49" t="s">
        <v>53</v>
      </c>
      <c r="E49">
        <v>4</v>
      </c>
      <c r="F49" t="s">
        <v>11</v>
      </c>
      <c r="G49">
        <v>15</v>
      </c>
      <c r="H49">
        <v>19</v>
      </c>
      <c r="I49">
        <v>0.78947368421052599</v>
      </c>
      <c r="J49">
        <v>0.21052631578947301</v>
      </c>
      <c r="K49">
        <v>77</v>
      </c>
      <c r="L49">
        <v>0.19480519480519401</v>
      </c>
      <c r="M49">
        <v>1625.09</v>
      </c>
    </row>
    <row r="50" spans="1:13">
      <c r="A50" s="27">
        <v>46204</v>
      </c>
      <c r="B50" s="27">
        <v>46293</v>
      </c>
      <c r="C50" t="s">
        <v>80</v>
      </c>
      <c r="D50" t="s">
        <v>54</v>
      </c>
      <c r="E50">
        <v>1</v>
      </c>
      <c r="F50" t="s">
        <v>8</v>
      </c>
      <c r="G50">
        <v>83</v>
      </c>
      <c r="K50">
        <v>83</v>
      </c>
      <c r="L50">
        <v>1</v>
      </c>
    </row>
    <row r="51" spans="1:13">
      <c r="A51" s="27">
        <v>46204</v>
      </c>
      <c r="B51" s="27">
        <v>46293</v>
      </c>
      <c r="C51" t="s">
        <v>80</v>
      </c>
      <c r="D51" t="s">
        <v>54</v>
      </c>
      <c r="E51">
        <v>2</v>
      </c>
      <c r="F51" t="s">
        <v>9</v>
      </c>
      <c r="G51">
        <v>33</v>
      </c>
      <c r="H51">
        <v>83</v>
      </c>
      <c r="I51">
        <v>0.39759036144578302</v>
      </c>
      <c r="J51">
        <v>0.60240963855421603</v>
      </c>
      <c r="K51">
        <v>83</v>
      </c>
      <c r="L51">
        <v>0.39759036144578302</v>
      </c>
    </row>
    <row r="52" spans="1:13">
      <c r="A52" s="27">
        <v>46204</v>
      </c>
      <c r="B52" s="27">
        <v>46293</v>
      </c>
      <c r="C52" t="s">
        <v>80</v>
      </c>
      <c r="D52" t="s">
        <v>54</v>
      </c>
      <c r="E52">
        <v>3</v>
      </c>
      <c r="F52" t="s">
        <v>10</v>
      </c>
      <c r="G52">
        <v>21</v>
      </c>
      <c r="H52">
        <v>33</v>
      </c>
      <c r="I52">
        <v>0.63636363636363602</v>
      </c>
      <c r="J52">
        <v>0.36363636363636298</v>
      </c>
      <c r="K52">
        <v>83</v>
      </c>
      <c r="L52">
        <v>0.25301204819277101</v>
      </c>
    </row>
    <row r="53" spans="1:13">
      <c r="A53" s="27">
        <v>46204</v>
      </c>
      <c r="B53" s="27">
        <v>46293</v>
      </c>
      <c r="C53" t="s">
        <v>80</v>
      </c>
      <c r="D53" t="s">
        <v>54</v>
      </c>
      <c r="E53">
        <v>4</v>
      </c>
      <c r="F53" t="s">
        <v>11</v>
      </c>
      <c r="G53">
        <v>17</v>
      </c>
      <c r="H53">
        <v>21</v>
      </c>
      <c r="I53">
        <v>0.80952380952380898</v>
      </c>
      <c r="J53">
        <v>0.19047619047618999</v>
      </c>
      <c r="K53">
        <v>83</v>
      </c>
      <c r="L53">
        <v>0.20481927710843301</v>
      </c>
      <c r="M53">
        <v>1906.7</v>
      </c>
    </row>
    <row r="54" spans="1:13">
      <c r="A54" s="27">
        <v>46204</v>
      </c>
      <c r="B54" s="27">
        <v>46293</v>
      </c>
      <c r="C54" t="s">
        <v>80</v>
      </c>
      <c r="D54" t="s">
        <v>55</v>
      </c>
      <c r="E54">
        <v>1</v>
      </c>
      <c r="F54" t="s">
        <v>8</v>
      </c>
      <c r="G54">
        <v>63</v>
      </c>
      <c r="K54">
        <v>63</v>
      </c>
      <c r="L54">
        <v>1</v>
      </c>
    </row>
    <row r="55" spans="1:13">
      <c r="A55" s="27">
        <v>46204</v>
      </c>
      <c r="B55" s="27">
        <v>46293</v>
      </c>
      <c r="C55" t="s">
        <v>80</v>
      </c>
      <c r="D55" t="s">
        <v>55</v>
      </c>
      <c r="E55">
        <v>2</v>
      </c>
      <c r="F55" t="s">
        <v>9</v>
      </c>
      <c r="G55">
        <v>26</v>
      </c>
      <c r="H55">
        <v>63</v>
      </c>
      <c r="I55">
        <v>0.41269841269841201</v>
      </c>
      <c r="J55">
        <v>0.58730158730158699</v>
      </c>
      <c r="K55">
        <v>63</v>
      </c>
      <c r="L55">
        <v>0.41269841269841201</v>
      </c>
    </row>
    <row r="56" spans="1:13">
      <c r="A56" s="27">
        <v>46204</v>
      </c>
      <c r="B56" s="27">
        <v>46293</v>
      </c>
      <c r="C56" t="s">
        <v>80</v>
      </c>
      <c r="D56" t="s">
        <v>55</v>
      </c>
      <c r="E56">
        <v>3</v>
      </c>
      <c r="F56" t="s">
        <v>10</v>
      </c>
      <c r="G56">
        <v>15</v>
      </c>
      <c r="H56">
        <v>26</v>
      </c>
      <c r="I56">
        <v>0.57692307692307598</v>
      </c>
      <c r="J56">
        <v>0.42307692307692302</v>
      </c>
      <c r="K56">
        <v>63</v>
      </c>
      <c r="L56">
        <v>0.238095238095238</v>
      </c>
    </row>
    <row r="57" spans="1:13">
      <c r="A57" s="27">
        <v>46204</v>
      </c>
      <c r="B57" s="27">
        <v>46293</v>
      </c>
      <c r="C57" t="s">
        <v>80</v>
      </c>
      <c r="D57" t="s">
        <v>55</v>
      </c>
      <c r="E57">
        <v>4</v>
      </c>
      <c r="F57" t="s">
        <v>11</v>
      </c>
      <c r="G57">
        <v>11</v>
      </c>
      <c r="H57">
        <v>15</v>
      </c>
      <c r="I57">
        <v>0.73333333333333295</v>
      </c>
      <c r="J57">
        <v>0.266666666666666</v>
      </c>
      <c r="K57">
        <v>63</v>
      </c>
      <c r="L57">
        <v>0.17460317460317401</v>
      </c>
      <c r="M57">
        <v>1133.24</v>
      </c>
    </row>
    <row r="58" spans="1:13">
      <c r="A58" s="27">
        <v>46204</v>
      </c>
      <c r="B58" s="27">
        <v>46293</v>
      </c>
      <c r="C58" t="s">
        <v>80</v>
      </c>
      <c r="D58" t="s">
        <v>56</v>
      </c>
      <c r="E58">
        <v>1</v>
      </c>
      <c r="F58" t="s">
        <v>8</v>
      </c>
      <c r="G58">
        <v>73</v>
      </c>
      <c r="K58">
        <v>73</v>
      </c>
      <c r="L58">
        <v>1</v>
      </c>
    </row>
    <row r="59" spans="1:13">
      <c r="A59" s="27">
        <v>46204</v>
      </c>
      <c r="B59" s="27">
        <v>46293</v>
      </c>
      <c r="C59" t="s">
        <v>80</v>
      </c>
      <c r="D59" t="s">
        <v>56</v>
      </c>
      <c r="E59">
        <v>2</v>
      </c>
      <c r="F59" t="s">
        <v>9</v>
      </c>
      <c r="G59">
        <v>30</v>
      </c>
      <c r="H59">
        <v>73</v>
      </c>
      <c r="I59">
        <v>0.41095890410958902</v>
      </c>
      <c r="J59">
        <v>0.58904109589041098</v>
      </c>
      <c r="K59">
        <v>73</v>
      </c>
      <c r="L59">
        <v>0.41095890410958902</v>
      </c>
    </row>
    <row r="60" spans="1:13">
      <c r="A60" s="27">
        <v>46204</v>
      </c>
      <c r="B60" s="27">
        <v>46293</v>
      </c>
      <c r="C60" t="s">
        <v>80</v>
      </c>
      <c r="D60" t="s">
        <v>56</v>
      </c>
      <c r="E60">
        <v>3</v>
      </c>
      <c r="F60" t="s">
        <v>10</v>
      </c>
      <c r="G60">
        <v>23</v>
      </c>
      <c r="H60">
        <v>30</v>
      </c>
      <c r="I60">
        <v>0.76666666666666605</v>
      </c>
      <c r="J60">
        <v>0.233333333333333</v>
      </c>
      <c r="K60">
        <v>73</v>
      </c>
      <c r="L60">
        <v>0.31506849315068403</v>
      </c>
    </row>
    <row r="61" spans="1:13">
      <c r="A61" s="27">
        <v>46204</v>
      </c>
      <c r="B61" s="27">
        <v>46293</v>
      </c>
      <c r="C61" t="s">
        <v>80</v>
      </c>
      <c r="D61" t="s">
        <v>56</v>
      </c>
      <c r="E61">
        <v>4</v>
      </c>
      <c r="F61" t="s">
        <v>11</v>
      </c>
      <c r="G61">
        <v>14</v>
      </c>
      <c r="H61">
        <v>23</v>
      </c>
      <c r="I61">
        <v>0.60869565217391297</v>
      </c>
      <c r="J61">
        <v>0.39130434782608597</v>
      </c>
      <c r="K61">
        <v>73</v>
      </c>
      <c r="L61">
        <v>0.19178082191780799</v>
      </c>
      <c r="M61">
        <v>1847.62</v>
      </c>
    </row>
    <row r="62" spans="1:13">
      <c r="A62" s="27">
        <v>46204</v>
      </c>
      <c r="B62" s="27">
        <v>46293</v>
      </c>
      <c r="C62" t="s">
        <v>80</v>
      </c>
      <c r="D62" t="s">
        <v>57</v>
      </c>
      <c r="E62">
        <v>1</v>
      </c>
      <c r="F62" t="s">
        <v>8</v>
      </c>
      <c r="G62">
        <v>95</v>
      </c>
      <c r="K62">
        <v>95</v>
      </c>
      <c r="L62">
        <v>1</v>
      </c>
    </row>
    <row r="63" spans="1:13">
      <c r="A63" s="27">
        <v>46204</v>
      </c>
      <c r="B63" s="27">
        <v>46293</v>
      </c>
      <c r="C63" t="s">
        <v>80</v>
      </c>
      <c r="D63" t="s">
        <v>57</v>
      </c>
      <c r="E63">
        <v>2</v>
      </c>
      <c r="F63" t="s">
        <v>9</v>
      </c>
      <c r="G63">
        <v>37</v>
      </c>
      <c r="H63">
        <v>95</v>
      </c>
      <c r="I63">
        <v>0.38947368421052603</v>
      </c>
      <c r="J63">
        <v>0.61052631578947303</v>
      </c>
      <c r="K63">
        <v>95</v>
      </c>
      <c r="L63">
        <v>0.38947368421052603</v>
      </c>
    </row>
    <row r="64" spans="1:13">
      <c r="A64" s="27">
        <v>46204</v>
      </c>
      <c r="B64" s="27">
        <v>46293</v>
      </c>
      <c r="C64" t="s">
        <v>80</v>
      </c>
      <c r="D64" t="s">
        <v>57</v>
      </c>
      <c r="E64">
        <v>3</v>
      </c>
      <c r="F64" t="s">
        <v>10</v>
      </c>
      <c r="G64">
        <v>20</v>
      </c>
      <c r="H64">
        <v>37</v>
      </c>
      <c r="I64">
        <v>0.54054054054054002</v>
      </c>
      <c r="J64">
        <v>0.45945945945945899</v>
      </c>
      <c r="K64">
        <v>95</v>
      </c>
      <c r="L64">
        <v>0.21052631578947301</v>
      </c>
    </row>
    <row r="65" spans="1:13">
      <c r="A65" s="27">
        <v>46204</v>
      </c>
      <c r="B65" s="27">
        <v>46293</v>
      </c>
      <c r="C65" t="s">
        <v>80</v>
      </c>
      <c r="D65" t="s">
        <v>57</v>
      </c>
      <c r="E65">
        <v>4</v>
      </c>
      <c r="F65" t="s">
        <v>11</v>
      </c>
      <c r="G65">
        <v>14</v>
      </c>
      <c r="H65">
        <v>20</v>
      </c>
      <c r="I65">
        <v>0.7</v>
      </c>
      <c r="J65">
        <v>0.3</v>
      </c>
      <c r="K65">
        <v>95</v>
      </c>
      <c r="L65">
        <v>0.14736842105263101</v>
      </c>
      <c r="M65">
        <v>1550.34</v>
      </c>
    </row>
    <row r="66" spans="1:13">
      <c r="A66" s="27">
        <v>46204</v>
      </c>
      <c r="B66" s="27">
        <v>46293</v>
      </c>
      <c r="C66" t="s">
        <v>80</v>
      </c>
      <c r="D66" t="s">
        <v>58</v>
      </c>
      <c r="E66">
        <v>1</v>
      </c>
      <c r="F66" t="s">
        <v>8</v>
      </c>
      <c r="G66">
        <v>79</v>
      </c>
      <c r="K66">
        <v>79</v>
      </c>
      <c r="L66">
        <v>1</v>
      </c>
    </row>
    <row r="67" spans="1:13">
      <c r="A67" s="27">
        <v>46204</v>
      </c>
      <c r="B67" s="27">
        <v>46293</v>
      </c>
      <c r="C67" t="s">
        <v>80</v>
      </c>
      <c r="D67" t="s">
        <v>58</v>
      </c>
      <c r="E67">
        <v>2</v>
      </c>
      <c r="F67" t="s">
        <v>9</v>
      </c>
      <c r="G67">
        <v>37</v>
      </c>
      <c r="H67">
        <v>79</v>
      </c>
      <c r="I67">
        <v>0.468354430379746</v>
      </c>
      <c r="J67">
        <v>0.531645569620253</v>
      </c>
      <c r="K67">
        <v>79</v>
      </c>
      <c r="L67">
        <v>0.468354430379746</v>
      </c>
    </row>
    <row r="68" spans="1:13">
      <c r="A68" s="27">
        <v>46204</v>
      </c>
      <c r="B68" s="27">
        <v>46293</v>
      </c>
      <c r="C68" t="s">
        <v>80</v>
      </c>
      <c r="D68" t="s">
        <v>58</v>
      </c>
      <c r="E68">
        <v>3</v>
      </c>
      <c r="F68" t="s">
        <v>10</v>
      </c>
      <c r="G68">
        <v>24</v>
      </c>
      <c r="H68">
        <v>37</v>
      </c>
      <c r="I68">
        <v>0.64864864864864802</v>
      </c>
      <c r="J68">
        <v>0.35135135135135098</v>
      </c>
      <c r="K68">
        <v>79</v>
      </c>
      <c r="L68">
        <v>0.30379746835443</v>
      </c>
    </row>
    <row r="69" spans="1:13">
      <c r="A69" s="27">
        <v>46204</v>
      </c>
      <c r="B69" s="27">
        <v>46293</v>
      </c>
      <c r="C69" t="s">
        <v>80</v>
      </c>
      <c r="D69" t="s">
        <v>58</v>
      </c>
      <c r="E69">
        <v>4</v>
      </c>
      <c r="F69" t="s">
        <v>11</v>
      </c>
      <c r="G69">
        <v>15</v>
      </c>
      <c r="H69">
        <v>24</v>
      </c>
      <c r="I69">
        <v>0.625</v>
      </c>
      <c r="J69">
        <v>0.375</v>
      </c>
      <c r="K69">
        <v>79</v>
      </c>
      <c r="L69">
        <v>0.189873417721519</v>
      </c>
      <c r="M69">
        <v>1503.74</v>
      </c>
    </row>
    <row r="70" spans="1:13">
      <c r="A70" s="27">
        <v>46204</v>
      </c>
      <c r="B70" s="27">
        <v>46293</v>
      </c>
      <c r="C70" t="s">
        <v>80</v>
      </c>
      <c r="D70" t="s">
        <v>59</v>
      </c>
      <c r="E70">
        <v>1</v>
      </c>
      <c r="F70" t="s">
        <v>8</v>
      </c>
      <c r="G70">
        <v>86</v>
      </c>
      <c r="K70">
        <v>86</v>
      </c>
      <c r="L70">
        <v>1</v>
      </c>
    </row>
    <row r="71" spans="1:13">
      <c r="A71" s="27">
        <v>46204</v>
      </c>
      <c r="B71" s="27">
        <v>46293</v>
      </c>
      <c r="C71" t="s">
        <v>80</v>
      </c>
      <c r="D71" t="s">
        <v>59</v>
      </c>
      <c r="E71">
        <v>2</v>
      </c>
      <c r="F71" t="s">
        <v>9</v>
      </c>
      <c r="G71">
        <v>34</v>
      </c>
      <c r="H71">
        <v>86</v>
      </c>
      <c r="I71">
        <v>0.39534883720930197</v>
      </c>
      <c r="J71">
        <v>0.60465116279069697</v>
      </c>
      <c r="K71">
        <v>86</v>
      </c>
      <c r="L71">
        <v>0.39534883720930197</v>
      </c>
    </row>
    <row r="72" spans="1:13">
      <c r="A72" s="27">
        <v>46204</v>
      </c>
      <c r="B72" s="27">
        <v>46293</v>
      </c>
      <c r="C72" t="s">
        <v>80</v>
      </c>
      <c r="D72" t="s">
        <v>59</v>
      </c>
      <c r="E72">
        <v>3</v>
      </c>
      <c r="F72" t="s">
        <v>10</v>
      </c>
      <c r="G72">
        <v>18</v>
      </c>
      <c r="H72">
        <v>34</v>
      </c>
      <c r="I72">
        <v>0.52941176470588203</v>
      </c>
      <c r="J72">
        <v>0.47058823529411697</v>
      </c>
      <c r="K72">
        <v>86</v>
      </c>
      <c r="L72">
        <v>0.209302325581395</v>
      </c>
    </row>
    <row r="73" spans="1:13">
      <c r="A73" s="27">
        <v>46204</v>
      </c>
      <c r="B73" s="27">
        <v>46293</v>
      </c>
      <c r="C73" t="s">
        <v>80</v>
      </c>
      <c r="D73" t="s">
        <v>59</v>
      </c>
      <c r="E73">
        <v>4</v>
      </c>
      <c r="F73" t="s">
        <v>11</v>
      </c>
      <c r="G73">
        <v>12</v>
      </c>
      <c r="H73">
        <v>18</v>
      </c>
      <c r="I73">
        <v>0.66666666666666596</v>
      </c>
      <c r="J73">
        <v>0.33333333333333298</v>
      </c>
      <c r="K73">
        <v>86</v>
      </c>
      <c r="L73">
        <v>0.13953488372093001</v>
      </c>
      <c r="M73">
        <v>1363.45</v>
      </c>
    </row>
    <row r="74" spans="1:13">
      <c r="A74" s="27">
        <v>46204</v>
      </c>
      <c r="B74" s="27">
        <v>46293</v>
      </c>
      <c r="C74" t="s">
        <v>80</v>
      </c>
      <c r="D74" t="s">
        <v>60</v>
      </c>
      <c r="E74">
        <v>1</v>
      </c>
      <c r="F74" t="s">
        <v>8</v>
      </c>
      <c r="G74">
        <v>76</v>
      </c>
      <c r="K74">
        <v>76</v>
      </c>
      <c r="L74">
        <v>1</v>
      </c>
    </row>
    <row r="75" spans="1:13">
      <c r="A75" s="27">
        <v>46204</v>
      </c>
      <c r="B75" s="27">
        <v>46293</v>
      </c>
      <c r="C75" t="s">
        <v>80</v>
      </c>
      <c r="D75" t="s">
        <v>60</v>
      </c>
      <c r="E75">
        <v>2</v>
      </c>
      <c r="F75" t="s">
        <v>9</v>
      </c>
      <c r="G75">
        <v>38</v>
      </c>
      <c r="H75">
        <v>76</v>
      </c>
      <c r="I75">
        <v>0.5</v>
      </c>
      <c r="J75">
        <v>0.5</v>
      </c>
      <c r="K75">
        <v>76</v>
      </c>
      <c r="L75">
        <v>0.5</v>
      </c>
    </row>
    <row r="76" spans="1:13">
      <c r="A76" s="27">
        <v>46204</v>
      </c>
      <c r="B76" s="27">
        <v>46293</v>
      </c>
      <c r="C76" t="s">
        <v>80</v>
      </c>
      <c r="D76" t="s">
        <v>60</v>
      </c>
      <c r="E76">
        <v>3</v>
      </c>
      <c r="F76" t="s">
        <v>10</v>
      </c>
      <c r="G76">
        <v>24</v>
      </c>
      <c r="H76">
        <v>38</v>
      </c>
      <c r="I76">
        <v>0.63157894736842102</v>
      </c>
      <c r="J76">
        <v>0.36842105263157898</v>
      </c>
      <c r="K76">
        <v>76</v>
      </c>
      <c r="L76">
        <v>0.31578947368421001</v>
      </c>
    </row>
    <row r="77" spans="1:13">
      <c r="A77" s="27">
        <v>46204</v>
      </c>
      <c r="B77" s="27">
        <v>46293</v>
      </c>
      <c r="C77" t="s">
        <v>80</v>
      </c>
      <c r="D77" t="s">
        <v>60</v>
      </c>
      <c r="E77">
        <v>4</v>
      </c>
      <c r="F77" t="s">
        <v>11</v>
      </c>
      <c r="G77">
        <v>17</v>
      </c>
      <c r="H77">
        <v>24</v>
      </c>
      <c r="I77">
        <v>0.70833333333333304</v>
      </c>
      <c r="J77">
        <v>0.29166666666666602</v>
      </c>
      <c r="K77">
        <v>76</v>
      </c>
      <c r="L77">
        <v>0.22368421052631501</v>
      </c>
      <c r="M77">
        <v>1932.4099999999901</v>
      </c>
    </row>
    <row r="78" spans="1:13">
      <c r="A78" s="27">
        <v>46204</v>
      </c>
      <c r="B78" s="27">
        <v>46293</v>
      </c>
      <c r="C78" t="s">
        <v>80</v>
      </c>
      <c r="D78" t="s">
        <v>61</v>
      </c>
      <c r="E78">
        <v>1</v>
      </c>
      <c r="F78" t="s">
        <v>8</v>
      </c>
      <c r="G78">
        <v>74</v>
      </c>
      <c r="K78">
        <v>74</v>
      </c>
      <c r="L78">
        <v>1</v>
      </c>
    </row>
    <row r="79" spans="1:13">
      <c r="A79" s="27">
        <v>46204</v>
      </c>
      <c r="B79" s="27">
        <v>46293</v>
      </c>
      <c r="C79" t="s">
        <v>80</v>
      </c>
      <c r="D79" t="s">
        <v>61</v>
      </c>
      <c r="E79">
        <v>2</v>
      </c>
      <c r="F79" t="s">
        <v>9</v>
      </c>
      <c r="G79">
        <v>36</v>
      </c>
      <c r="H79">
        <v>74</v>
      </c>
      <c r="I79">
        <v>0.48648648648648601</v>
      </c>
      <c r="J79">
        <v>0.51351351351351304</v>
      </c>
      <c r="K79">
        <v>74</v>
      </c>
      <c r="L79">
        <v>0.48648648648648601</v>
      </c>
    </row>
    <row r="80" spans="1:13">
      <c r="A80" s="27">
        <v>46204</v>
      </c>
      <c r="B80" s="27">
        <v>46293</v>
      </c>
      <c r="C80" t="s">
        <v>80</v>
      </c>
      <c r="D80" t="s">
        <v>61</v>
      </c>
      <c r="E80">
        <v>3</v>
      </c>
      <c r="F80" t="s">
        <v>10</v>
      </c>
      <c r="G80">
        <v>22</v>
      </c>
      <c r="H80">
        <v>36</v>
      </c>
      <c r="I80">
        <v>0.61111111111111105</v>
      </c>
      <c r="J80">
        <v>0.38888888888888801</v>
      </c>
      <c r="K80">
        <v>74</v>
      </c>
      <c r="L80">
        <v>0.29729729729729698</v>
      </c>
    </row>
    <row r="81" spans="1:13">
      <c r="A81" s="27">
        <v>46204</v>
      </c>
      <c r="B81" s="27">
        <v>46293</v>
      </c>
      <c r="C81" t="s">
        <v>80</v>
      </c>
      <c r="D81" t="s">
        <v>61</v>
      </c>
      <c r="E81">
        <v>4</v>
      </c>
      <c r="F81" t="s">
        <v>11</v>
      </c>
      <c r="G81">
        <v>15</v>
      </c>
      <c r="H81">
        <v>22</v>
      </c>
      <c r="I81">
        <v>0.68181818181818099</v>
      </c>
      <c r="J81">
        <v>0.31818181818181801</v>
      </c>
      <c r="K81">
        <v>74</v>
      </c>
      <c r="L81">
        <v>0.20270270270270199</v>
      </c>
      <c r="M81">
        <v>1756.87</v>
      </c>
    </row>
    <row r="82" spans="1:13">
      <c r="A82" s="27">
        <v>46204</v>
      </c>
      <c r="B82" s="27">
        <v>46293</v>
      </c>
      <c r="C82" t="s">
        <v>80</v>
      </c>
      <c r="D82" t="s">
        <v>62</v>
      </c>
      <c r="E82">
        <v>1</v>
      </c>
      <c r="F82" t="s">
        <v>8</v>
      </c>
      <c r="G82">
        <v>75</v>
      </c>
      <c r="K82">
        <v>75</v>
      </c>
      <c r="L82">
        <v>1</v>
      </c>
    </row>
    <row r="83" spans="1:13">
      <c r="A83" s="27">
        <v>46204</v>
      </c>
      <c r="B83" s="27">
        <v>46293</v>
      </c>
      <c r="C83" t="s">
        <v>80</v>
      </c>
      <c r="D83" t="s">
        <v>62</v>
      </c>
      <c r="E83">
        <v>2</v>
      </c>
      <c r="F83" t="s">
        <v>9</v>
      </c>
      <c r="G83">
        <v>44</v>
      </c>
      <c r="H83">
        <v>75</v>
      </c>
      <c r="I83">
        <v>0.586666666666666</v>
      </c>
      <c r="J83">
        <v>0.413333333333333</v>
      </c>
      <c r="K83">
        <v>75</v>
      </c>
      <c r="L83">
        <v>0.586666666666666</v>
      </c>
    </row>
    <row r="84" spans="1:13">
      <c r="A84" s="27">
        <v>46204</v>
      </c>
      <c r="B84" s="27">
        <v>46293</v>
      </c>
      <c r="C84" t="s">
        <v>80</v>
      </c>
      <c r="D84" t="s">
        <v>62</v>
      </c>
      <c r="E84">
        <v>3</v>
      </c>
      <c r="F84" t="s">
        <v>10</v>
      </c>
      <c r="G84">
        <v>28</v>
      </c>
      <c r="H84">
        <v>44</v>
      </c>
      <c r="I84">
        <v>0.63636363636363602</v>
      </c>
      <c r="J84">
        <v>0.36363636363636298</v>
      </c>
      <c r="K84">
        <v>75</v>
      </c>
      <c r="L84">
        <v>0.37333333333333302</v>
      </c>
    </row>
    <row r="85" spans="1:13">
      <c r="A85" s="27">
        <v>46204</v>
      </c>
      <c r="B85" s="27">
        <v>46293</v>
      </c>
      <c r="C85" t="s">
        <v>80</v>
      </c>
      <c r="D85" t="s">
        <v>62</v>
      </c>
      <c r="E85">
        <v>4</v>
      </c>
      <c r="F85" t="s">
        <v>11</v>
      </c>
      <c r="G85">
        <v>18</v>
      </c>
      <c r="H85">
        <v>28</v>
      </c>
      <c r="I85">
        <v>0.64285714285714202</v>
      </c>
      <c r="J85">
        <v>0.35714285714285698</v>
      </c>
      <c r="K85">
        <v>75</v>
      </c>
      <c r="L85">
        <v>0.24</v>
      </c>
      <c r="M85">
        <v>2302.6799999999998</v>
      </c>
    </row>
    <row r="86" spans="1:13">
      <c r="A86" s="27">
        <v>46204</v>
      </c>
      <c r="B86" s="27">
        <v>46293</v>
      </c>
      <c r="C86" t="s">
        <v>80</v>
      </c>
      <c r="D86" t="s">
        <v>63</v>
      </c>
      <c r="E86">
        <v>1</v>
      </c>
      <c r="F86" t="s">
        <v>8</v>
      </c>
      <c r="G86">
        <v>74</v>
      </c>
      <c r="K86">
        <v>74</v>
      </c>
      <c r="L86">
        <v>1</v>
      </c>
    </row>
    <row r="87" spans="1:13">
      <c r="A87" s="27">
        <v>46204</v>
      </c>
      <c r="B87" s="27">
        <v>46293</v>
      </c>
      <c r="C87" t="s">
        <v>80</v>
      </c>
      <c r="D87" t="s">
        <v>63</v>
      </c>
      <c r="E87">
        <v>2</v>
      </c>
      <c r="F87" t="s">
        <v>9</v>
      </c>
      <c r="G87">
        <v>34</v>
      </c>
      <c r="H87">
        <v>74</v>
      </c>
      <c r="I87">
        <v>0.45945945945945899</v>
      </c>
      <c r="J87">
        <v>0.54054054054054002</v>
      </c>
      <c r="K87">
        <v>74</v>
      </c>
      <c r="L87">
        <v>0.45945945945945899</v>
      </c>
    </row>
    <row r="88" spans="1:13">
      <c r="A88" s="27">
        <v>46204</v>
      </c>
      <c r="B88" s="27">
        <v>46293</v>
      </c>
      <c r="C88" t="s">
        <v>80</v>
      </c>
      <c r="D88" t="s">
        <v>63</v>
      </c>
      <c r="E88">
        <v>3</v>
      </c>
      <c r="F88" t="s">
        <v>10</v>
      </c>
      <c r="G88">
        <v>16</v>
      </c>
      <c r="H88">
        <v>34</v>
      </c>
      <c r="I88">
        <v>0.47058823529411697</v>
      </c>
      <c r="J88">
        <v>0.52941176470588203</v>
      </c>
      <c r="K88">
        <v>74</v>
      </c>
      <c r="L88">
        <v>0.21621621621621601</v>
      </c>
    </row>
    <row r="89" spans="1:13">
      <c r="A89" s="27">
        <v>46204</v>
      </c>
      <c r="B89" s="27">
        <v>46293</v>
      </c>
      <c r="C89" t="s">
        <v>80</v>
      </c>
      <c r="D89" t="s">
        <v>63</v>
      </c>
      <c r="E89">
        <v>4</v>
      </c>
      <c r="F89" t="s">
        <v>11</v>
      </c>
      <c r="G89">
        <v>12</v>
      </c>
      <c r="H89">
        <v>16</v>
      </c>
      <c r="I89">
        <v>0.75</v>
      </c>
      <c r="J89">
        <v>0.25</v>
      </c>
      <c r="K89">
        <v>74</v>
      </c>
      <c r="L89">
        <v>0.162162162162162</v>
      </c>
      <c r="M89">
        <v>1333.28</v>
      </c>
    </row>
    <row r="90" spans="1:13">
      <c r="A90" s="27">
        <v>46204</v>
      </c>
      <c r="B90" s="27">
        <v>46293</v>
      </c>
      <c r="C90" t="s">
        <v>80</v>
      </c>
      <c r="D90" t="s">
        <v>64</v>
      </c>
      <c r="E90">
        <v>1</v>
      </c>
      <c r="F90" t="s">
        <v>8</v>
      </c>
      <c r="G90">
        <v>18</v>
      </c>
      <c r="K90">
        <v>18</v>
      </c>
      <c r="L90">
        <v>1</v>
      </c>
    </row>
    <row r="91" spans="1:13">
      <c r="A91" s="27">
        <v>46204</v>
      </c>
      <c r="B91" s="27">
        <v>46293</v>
      </c>
      <c r="C91" t="s">
        <v>80</v>
      </c>
      <c r="D91" t="s">
        <v>64</v>
      </c>
      <c r="E91">
        <v>2</v>
      </c>
      <c r="F91" t="s">
        <v>9</v>
      </c>
      <c r="G91">
        <v>4</v>
      </c>
      <c r="H91">
        <v>18</v>
      </c>
      <c r="I91">
        <v>0.22222222222222199</v>
      </c>
      <c r="J91">
        <v>0.77777777777777701</v>
      </c>
      <c r="K91">
        <v>18</v>
      </c>
      <c r="L91">
        <v>0.22222222222222199</v>
      </c>
    </row>
    <row r="92" spans="1:13">
      <c r="A92" s="27">
        <v>46204</v>
      </c>
      <c r="B92" s="27">
        <v>46293</v>
      </c>
      <c r="C92" t="s">
        <v>80</v>
      </c>
      <c r="D92" t="s">
        <v>64</v>
      </c>
      <c r="E92">
        <v>3</v>
      </c>
      <c r="F92" t="s">
        <v>10</v>
      </c>
      <c r="G92">
        <v>2</v>
      </c>
      <c r="H92">
        <v>4</v>
      </c>
      <c r="I92">
        <v>0.5</v>
      </c>
      <c r="J92">
        <v>0.5</v>
      </c>
      <c r="K92">
        <v>18</v>
      </c>
      <c r="L92">
        <v>0.11111111111111099</v>
      </c>
    </row>
    <row r="93" spans="1:13">
      <c r="A93" s="27">
        <v>46204</v>
      </c>
      <c r="B93" s="27">
        <v>46293</v>
      </c>
      <c r="C93" t="s">
        <v>80</v>
      </c>
      <c r="D93" t="s">
        <v>64</v>
      </c>
      <c r="E93">
        <v>4</v>
      </c>
      <c r="F93" t="s">
        <v>11</v>
      </c>
      <c r="G93">
        <v>0</v>
      </c>
      <c r="H93">
        <v>2</v>
      </c>
      <c r="I93">
        <v>0</v>
      </c>
      <c r="J93">
        <v>1</v>
      </c>
      <c r="K93">
        <v>18</v>
      </c>
      <c r="L93">
        <v>0</v>
      </c>
      <c r="M9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Funnel</vt:lpstr>
      <vt:lpstr>Segments</vt:lpstr>
      <vt:lpstr>Weekly</vt:lpstr>
      <vt:lpstr>SQL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Rupha Shree</cp:lastModifiedBy>
  <dcterms:modified xsi:type="dcterms:W3CDTF">2026-10-12T13:40:59Z</dcterms:modified>
</cp:coreProperties>
</file>